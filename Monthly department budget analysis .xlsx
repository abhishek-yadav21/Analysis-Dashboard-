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ebextensions/webextension1.xml" ContentType="application/vnd.ms-office.webextension+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5f474800aa80c9e6/Documents/Desktop/"/>
    </mc:Choice>
  </mc:AlternateContent>
  <xr:revisionPtr revIDLastSave="1226" documentId="8_{F6F18535-7F46-4BF2-90EB-417A7144AC12}" xr6:coauthVersionLast="47" xr6:coauthVersionMax="47" xr10:uidLastSave="{43ED6BC1-AED3-49C6-8562-B7DF6455E0CE}"/>
  <bookViews>
    <workbookView xWindow="-108" yWindow="-108" windowWidth="23256" windowHeight="13896" xr2:uid="{00000000-000D-0000-FFFF-FFFF00000000}"/>
  </bookViews>
  <sheets>
    <sheet name="Dashboard " sheetId="14" r:id="rId1"/>
    <sheet name="Sheet1" sheetId="21" r:id="rId2"/>
    <sheet name="Sheet2" sheetId="22" r:id="rId3"/>
    <sheet name="Sheet3" sheetId="23" r:id="rId4"/>
    <sheet name="Sheet4" sheetId="24" r:id="rId5"/>
    <sheet name="Finance Data" sheetId="1" r:id="rId6"/>
    <sheet name="department spendings " sheetId="13" r:id="rId7"/>
    <sheet name="sum of Varience " sheetId="15" r:id="rId8"/>
    <sheet name="Monthly Revenue &amp; Expense Analy" sheetId="17" r:id="rId9"/>
  </sheets>
  <definedNames>
    <definedName name="_xlcn.WorksheetConnection_Financeproject.xlsxTable11" hidden="1">Table1[]</definedName>
    <definedName name="Slicer_Department">#N/A</definedName>
    <definedName name="Slicer_Month">#N/A</definedName>
    <definedName name="Slicer_Month1">#N/A</definedName>
    <definedName name="Slicer_Month2">#N/A</definedName>
    <definedName name="Slicer_Varience">#N/A</definedName>
  </definedNames>
  <calcPr calcId="191029" iterateDelta="1E-4"/>
  <pivotCaches>
    <pivotCache cacheId="0" r:id="rId10"/>
    <pivotCache cacheId="1" r:id="rId11"/>
    <pivotCache cacheId="2" r:id="rId12"/>
  </pivotCaches>
  <extLst>
    <ext xmlns:x14="http://schemas.microsoft.com/office/spreadsheetml/2009/9/main" uri="{876F7934-8845-4945-9796-88D515C7AA90}">
      <x14:pivotCaches>
        <pivotCache cacheId="3"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e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4" l="1"/>
  <c r="A7" i="14"/>
  <c r="D17" i="21"/>
  <c r="F17" i="1"/>
  <c r="E17" i="1"/>
  <c r="G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223C8-FB87-46FD-9B8B-6815347803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BD2BBE-425C-4274-ADA5-7C0A090ECCCA}" name="WorksheetConnection_Finance project.xlsx!Table1" type="102" refreshedVersion="8" minRefreshableVersion="5">
    <extLst>
      <ext xmlns:x15="http://schemas.microsoft.com/office/spreadsheetml/2010/11/main" uri="{DE250136-89BD-433C-8126-D09CA5730AF9}">
        <x15:connection id="Table1">
          <x15:rangePr sourceName="_xlcn.WorksheetConnection_Financeproject.xlsxTable11"/>
        </x15:connection>
      </ext>
    </extLst>
  </connection>
</connections>
</file>

<file path=xl/sharedStrings.xml><?xml version="1.0" encoding="utf-8"?>
<sst xmlns="http://schemas.openxmlformats.org/spreadsheetml/2006/main" count="124" uniqueCount="45">
  <si>
    <t>Date</t>
  </si>
  <si>
    <t>Department</t>
  </si>
  <si>
    <t>Account Type</t>
  </si>
  <si>
    <t>Description</t>
  </si>
  <si>
    <t>Budget</t>
  </si>
  <si>
    <t>Actual</t>
  </si>
  <si>
    <t>Month</t>
  </si>
  <si>
    <t>01-01-2025</t>
  </si>
  <si>
    <t>Marketing</t>
  </si>
  <si>
    <t>Expense</t>
  </si>
  <si>
    <t>Ads Campaign</t>
  </si>
  <si>
    <t>Jan</t>
  </si>
  <si>
    <t>02-01-2025</t>
  </si>
  <si>
    <t>Sales</t>
  </si>
  <si>
    <t>Revenue</t>
  </si>
  <si>
    <t>Product Sales</t>
  </si>
  <si>
    <t>03-01-2025</t>
  </si>
  <si>
    <t>HR</t>
  </si>
  <si>
    <t>Salaries</t>
  </si>
  <si>
    <t>04-01-2025</t>
  </si>
  <si>
    <t>IT</t>
  </si>
  <si>
    <t>Software Licenses</t>
  </si>
  <si>
    <t>05-01-2025</t>
  </si>
  <si>
    <t>Finance</t>
  </si>
  <si>
    <t>Audit Fees</t>
  </si>
  <si>
    <t>01-02-2025</t>
  </si>
  <si>
    <t>Feb</t>
  </si>
  <si>
    <t>02-02-2025</t>
  </si>
  <si>
    <t>03-02-2025</t>
  </si>
  <si>
    <t>04-02-2025</t>
  </si>
  <si>
    <t>05-02-2025</t>
  </si>
  <si>
    <t>01-03-2025</t>
  </si>
  <si>
    <t>Mar</t>
  </si>
  <si>
    <t>02-03-2025</t>
  </si>
  <si>
    <t>03-03-2025</t>
  </si>
  <si>
    <t>04-03-2025</t>
  </si>
  <si>
    <t>05-03-2025</t>
  </si>
  <si>
    <t>Varience</t>
  </si>
  <si>
    <t>Row Labels</t>
  </si>
  <si>
    <t>Grand Total</t>
  </si>
  <si>
    <t>Sum of Budget</t>
  </si>
  <si>
    <t>Sum of Actual</t>
  </si>
  <si>
    <t>Sum of Varience</t>
  </si>
  <si>
    <t>varience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</si>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</sst>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43" formatCode="_ * #,##0.00_ ;_ * \-#,##0.00_ ;_ * &quot;-&quot;??_ ;_ @_ "/>
    <numFmt numFmtId="164" formatCode="_ [$₹-4009]\ * #,##0_ ;_ [$₹-4009]\ * \-#,##0_ ;_ [$₹-4009]\ * &quot;-&quot;??_ ;_ @_ "/>
    <numFmt numFmtId="165" formatCode="&quot;₹&quot;\ #,##0"/>
  </numFmts>
  <fonts count="4" x14ac:knownFonts="1">
    <font>
      <sz val="11"/>
      <color theme="1"/>
      <name val="Tw Cen MT"/>
      <family val="2"/>
      <scheme val="minor"/>
    </font>
    <font>
      <sz val="11"/>
      <color theme="1"/>
      <name val="Tw Cen MT"/>
      <family val="2"/>
      <scheme val="minor"/>
    </font>
    <font>
      <sz val="8"/>
      <name val="Tw Cen MT"/>
      <family val="2"/>
      <scheme val="minor"/>
    </font>
    <font>
      <b/>
      <sz val="18"/>
      <color theme="1"/>
      <name val="Arial"/>
      <family val="2"/>
    </font>
  </fonts>
  <fills count="4">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7">
    <xf numFmtId="0" fontId="0" fillId="0" borderId="0" xfId="0"/>
    <xf numFmtId="0" fontId="0" fillId="0" borderId="1" xfId="0" applyBorder="1"/>
    <xf numFmtId="0" fontId="0" fillId="0" borderId="0" xfId="1" applyNumberFormat="1" applyFont="1"/>
    <xf numFmtId="0" fontId="0" fillId="0" borderId="1" xfId="1" applyNumberFormat="1" applyFont="1" applyFill="1" applyBorder="1"/>
    <xf numFmtId="0" fontId="0" fillId="0" borderId="0" xfId="0" pivotButton="1"/>
    <xf numFmtId="0" fontId="0" fillId="0" borderId="0" xfId="0" applyAlignment="1">
      <alignment horizontal="left"/>
    </xf>
    <xf numFmtId="9" fontId="0" fillId="0" borderId="1" xfId="0" applyNumberFormat="1" applyBorder="1"/>
    <xf numFmtId="164" fontId="0" fillId="0" borderId="0" xfId="0" applyNumberFormat="1"/>
    <xf numFmtId="0" fontId="0" fillId="0" borderId="2" xfId="0" applyBorder="1"/>
    <xf numFmtId="9" fontId="0" fillId="0" borderId="2" xfId="0" applyNumberFormat="1" applyBorder="1"/>
    <xf numFmtId="0" fontId="0" fillId="3" borderId="0" xfId="0" applyFill="1"/>
    <xf numFmtId="0" fontId="0" fillId="3" borderId="0" xfId="0" applyFill="1" applyAlignment="1">
      <alignment horizontal="center"/>
    </xf>
    <xf numFmtId="0" fontId="3" fillId="3" borderId="0" xfId="0" applyFont="1" applyFill="1" applyAlignment="1">
      <alignment vertical="top"/>
    </xf>
    <xf numFmtId="0" fontId="0" fillId="3" borderId="0" xfId="0" applyFill="1" applyAlignment="1">
      <alignment vertical="top"/>
    </xf>
    <xf numFmtId="165" fontId="0" fillId="3" borderId="0" xfId="0" applyNumberFormat="1" applyFill="1" applyAlignment="1">
      <alignment vertical="top"/>
    </xf>
    <xf numFmtId="165" fontId="3" fillId="2" borderId="0" xfId="2" applyNumberFormat="1" applyFont="1" applyFill="1" applyBorder="1" applyAlignment="1">
      <alignment horizontal="center" vertical="center"/>
    </xf>
    <xf numFmtId="165" fontId="3" fillId="2" borderId="0" xfId="0" applyNumberFormat="1" applyFont="1" applyFill="1" applyAlignment="1">
      <alignment horizontal="center" vertical="center"/>
    </xf>
  </cellXfs>
  <cellStyles count="3">
    <cellStyle name="Comma" xfId="2" builtinId="3"/>
    <cellStyle name="Currency" xfId="1" builtinId="4"/>
    <cellStyle name="Normal" xfId="0" builtinId="0"/>
  </cellStyles>
  <dxfs count="2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4" formatCode="_ [$₹-4009]\ * #,##0_ ;_ [$₹-4009]\ * \-#,##0_ ;_ [$₹-4009]\ * &quot;-&quot;??_ ;_ @_ "/>
    </dxf>
    <dxf>
      <numFmt numFmtId="164" formatCode="_ [$₹-4009]\ * #,##0_ ;_ [$₹-4009]\ * \-#,##0_ ;_ [$₹-4009]\ * &quot;-&quot;??_ ;_ @_ "/>
    </dxf>
    <dxf>
      <font>
        <color rgb="FF9C0006"/>
      </font>
      <fill>
        <patternFill>
          <bgColor rgb="FFFFC7CE"/>
        </patternFill>
      </fill>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3" formatCode="0%"/>
      <border diagonalUp="0" diagonalDown="0" outline="0">
        <left style="thin">
          <color indexed="64"/>
        </left>
        <right style="thin">
          <color indexed="64"/>
        </right>
        <top style="thin">
          <color indexed="64"/>
        </top>
        <bottom/>
      </border>
    </dxf>
    <dxf>
      <numFmt numFmtId="13"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dxf>
  </dxfs>
  <tableStyles count="1" defaultTableStyle="TableStyleMedium9" defaultPivotStyle="PivotStyleLight16">
    <tableStyle name="Slicer Style 1" pivot="0" table="0" count="0" xr9:uid="{D7766CE1-C234-4A78-9CCA-64476FAE1ED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department budget analysis .xlsx]sum of Varience !PivotTable8</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Department Varience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tint val="58000"/>
                  <a:satMod val="108000"/>
                  <a:lumMod val="110000"/>
                </a:schemeClr>
              </a:gs>
              <a:gs pos="100000">
                <a:schemeClr val="accent4">
                  <a:tint val="81000"/>
                  <a:satMod val="109000"/>
                  <a:lumMod val="105000"/>
                </a:schemeClr>
              </a:gs>
            </a:gsLst>
            <a:lin ang="504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848083250157"/>
          <c:y val="0.15854184893554973"/>
          <c:w val="0.84510392406935053"/>
          <c:h val="0.78590259550889474"/>
        </c:manualLayout>
      </c:layout>
      <c:barChart>
        <c:barDir val="col"/>
        <c:grouping val="clustered"/>
        <c:varyColors val="0"/>
        <c:ser>
          <c:idx val="0"/>
          <c:order val="0"/>
          <c:tx>
            <c:strRef>
              <c:f>'sum of Varience '!$B$3</c:f>
              <c:strCache>
                <c:ptCount val="1"/>
                <c:pt idx="0">
                  <c:v>Total</c:v>
                </c:pt>
              </c:strCache>
            </c:strRef>
          </c:tx>
          <c:spPr>
            <a:gradFill rotWithShape="1">
              <a:gsLst>
                <a:gs pos="0">
                  <a:schemeClr val="accent4">
                    <a:tint val="58000"/>
                    <a:satMod val="108000"/>
                    <a:lumMod val="110000"/>
                  </a:schemeClr>
                </a:gs>
                <a:gs pos="100000">
                  <a:schemeClr val="accent4">
                    <a:tint val="81000"/>
                    <a:satMod val="109000"/>
                    <a:lumMod val="105000"/>
                  </a:schemeClr>
                </a:gs>
              </a:gsLst>
              <a:lin ang="5040000" scaled="0"/>
            </a:gradFill>
            <a:ln w="9525" cap="flat" cmpd="sng" algn="ctr">
              <a:solidFill>
                <a:schemeClr val="accent4">
                  <a:shade val="95000"/>
                </a:schemeClr>
              </a:solidFill>
              <a:round/>
            </a:ln>
            <a:effectLst/>
          </c:spPr>
          <c:invertIfNegative val="1"/>
          <c:dPt>
            <c:idx val="4"/>
            <c:invertIfNegative val="1"/>
            <c:bubble3D val="0"/>
            <c:extLst>
              <c:ext xmlns:c16="http://schemas.microsoft.com/office/drawing/2014/chart" uri="{C3380CC4-5D6E-409C-BE32-E72D297353CC}">
                <c16:uniqueId val="{00000000-C5A9-44D8-9902-751D4798E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Varience '!$A$4:$A$9</c:f>
              <c:strCache>
                <c:ptCount val="5"/>
                <c:pt idx="0">
                  <c:v>Finance</c:v>
                </c:pt>
                <c:pt idx="1">
                  <c:v>HR</c:v>
                </c:pt>
                <c:pt idx="2">
                  <c:v>IT</c:v>
                </c:pt>
                <c:pt idx="3">
                  <c:v>Marketing</c:v>
                </c:pt>
                <c:pt idx="4">
                  <c:v>Sales</c:v>
                </c:pt>
              </c:strCache>
            </c:strRef>
          </c:cat>
          <c:val>
            <c:numRef>
              <c:f>'sum of Varience '!$B$4:$B$9</c:f>
              <c:numCache>
                <c:formatCode>General</c:formatCode>
                <c:ptCount val="5"/>
                <c:pt idx="0">
                  <c:v>0</c:v>
                </c:pt>
                <c:pt idx="1">
                  <c:v>2000</c:v>
                </c:pt>
                <c:pt idx="2">
                  <c:v>-5000</c:v>
                </c:pt>
                <c:pt idx="3">
                  <c:v>-5000</c:v>
                </c:pt>
                <c:pt idx="4">
                  <c:v>-60000</c:v>
                </c:pt>
              </c:numCache>
            </c:numRef>
          </c:val>
          <c:extLst>
            <c:ext xmlns:c16="http://schemas.microsoft.com/office/drawing/2014/chart" uri="{C3380CC4-5D6E-409C-BE32-E72D297353CC}">
              <c16:uniqueId val="{00000001-C5A9-44D8-9902-751D4798E813}"/>
            </c:ext>
          </c:extLst>
        </c:ser>
        <c:dLbls>
          <c:dLblPos val="outEnd"/>
          <c:showLegendKey val="0"/>
          <c:showVal val="1"/>
          <c:showCatName val="0"/>
          <c:showSerName val="0"/>
          <c:showPercent val="0"/>
          <c:showBubbleSize val="0"/>
        </c:dLbls>
        <c:gapWidth val="100"/>
        <c:overlap val="-24"/>
        <c:axId val="1002876575"/>
        <c:axId val="1002877055"/>
      </c:barChart>
      <c:catAx>
        <c:axId val="10028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2877055"/>
        <c:crosses val="autoZero"/>
        <c:auto val="1"/>
        <c:lblAlgn val="ctr"/>
        <c:lblOffset val="100"/>
        <c:noMultiLvlLbl val="0"/>
      </c:catAx>
      <c:valAx>
        <c:axId val="100287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287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department budget analysis .xlsx]department spendings !PivotTable5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Department Spendings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7141701058270427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285627579370315E-3"/>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45712551587406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8570850529134546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45712551587406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9.7141701058270427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7.285627579370315E-3"/>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4.8570850529134546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45712551587406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9.7141701058270427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7.285627579370315E-3"/>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8570850529134546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45712551587406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7.285627579370315E-3"/>
              <c:y val="3.21750321750321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4.8570850529134546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9.7141701058270427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4">
                  <a:tint val="94000"/>
                  <a:satMod val="105000"/>
                  <a:lumMod val="102000"/>
                </a:schemeClr>
              </a:gs>
              <a:gs pos="100000">
                <a:schemeClr val="accent4">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4">
                  <a:tint val="94000"/>
                  <a:satMod val="105000"/>
                  <a:lumMod val="102000"/>
                </a:schemeClr>
              </a:gs>
              <a:gs pos="100000">
                <a:schemeClr val="accent4">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60852695157308E-2"/>
          <c:y val="0.16506379093917609"/>
          <c:w val="0.94782946096853837"/>
          <c:h val="0.77280063905055352"/>
        </c:manualLayout>
      </c:layout>
      <c:barChart>
        <c:barDir val="col"/>
        <c:grouping val="clustered"/>
        <c:varyColors val="0"/>
        <c:ser>
          <c:idx val="0"/>
          <c:order val="0"/>
          <c:tx>
            <c:strRef>
              <c:f>'department spendings '!$B$3</c:f>
              <c:strCache>
                <c:ptCount val="1"/>
                <c:pt idx="0">
                  <c:v>Sum of Budget</c:v>
                </c:pt>
              </c:strCache>
            </c:strRef>
          </c:tx>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FC0-428C-B78B-B65A9ABE39DD}"/>
              </c:ext>
            </c:extLst>
          </c:dPt>
          <c:dPt>
            <c:idx val="2"/>
            <c:invertIfNegative val="0"/>
            <c:bubble3D val="0"/>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C0-428C-B78B-B65A9ABE39DD}"/>
              </c:ext>
            </c:extLst>
          </c:dPt>
          <c:dPt>
            <c:idx val="3"/>
            <c:invertIfNegative val="0"/>
            <c:bubble3D val="0"/>
            <c:spPr>
              <a:gradFill rotWithShape="1">
                <a:gsLst>
                  <a:gs pos="0">
                    <a:schemeClr val="accent4">
                      <a:tint val="77000"/>
                      <a:tint val="94000"/>
                      <a:satMod val="105000"/>
                      <a:lumMod val="102000"/>
                    </a:schemeClr>
                  </a:gs>
                  <a:gs pos="100000">
                    <a:schemeClr val="accent4">
                      <a:tint val="77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FC0-428C-B78B-B65A9ABE39DD}"/>
              </c:ext>
            </c:extLst>
          </c:dPt>
          <c:cat>
            <c:strRef>
              <c:f>'department spendings '!$A$4:$A$9</c:f>
              <c:strCache>
                <c:ptCount val="5"/>
                <c:pt idx="0">
                  <c:v>Finance</c:v>
                </c:pt>
                <c:pt idx="1">
                  <c:v>IT</c:v>
                </c:pt>
                <c:pt idx="2">
                  <c:v>Marketing</c:v>
                </c:pt>
                <c:pt idx="3">
                  <c:v>HR</c:v>
                </c:pt>
                <c:pt idx="4">
                  <c:v>Sales</c:v>
                </c:pt>
              </c:strCache>
            </c:strRef>
          </c:cat>
          <c:val>
            <c:numRef>
              <c:f>'department spendings '!$B$4:$B$9</c:f>
              <c:numCache>
                <c:formatCode>General</c:formatCode>
                <c:ptCount val="5"/>
                <c:pt idx="0">
                  <c:v>67000</c:v>
                </c:pt>
                <c:pt idx="1">
                  <c:v>127000</c:v>
                </c:pt>
                <c:pt idx="2">
                  <c:v>165000</c:v>
                </c:pt>
                <c:pt idx="3">
                  <c:v>247000</c:v>
                </c:pt>
                <c:pt idx="4">
                  <c:v>480000</c:v>
                </c:pt>
              </c:numCache>
            </c:numRef>
          </c:val>
          <c:extLst>
            <c:ext xmlns:c16="http://schemas.microsoft.com/office/drawing/2014/chart" uri="{C3380CC4-5D6E-409C-BE32-E72D297353CC}">
              <c16:uniqueId val="{00000003-A110-4FD1-B8EC-6D7AF28A82C2}"/>
            </c:ext>
          </c:extLst>
        </c:ser>
        <c:ser>
          <c:idx val="1"/>
          <c:order val="1"/>
          <c:tx>
            <c:strRef>
              <c:f>'department spendings '!$C$3</c:f>
              <c:strCache>
                <c:ptCount val="1"/>
                <c:pt idx="0">
                  <c:v>Sum of Actual</c:v>
                </c:pt>
              </c:strCache>
            </c:strRef>
          </c:tx>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C0-428C-B78B-B65A9ABE39DD}"/>
              </c:ext>
            </c:extLst>
          </c:dPt>
          <c:dPt>
            <c:idx val="2"/>
            <c:invertIfNegative val="0"/>
            <c:bubble3D val="0"/>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FC0-428C-B78B-B65A9ABE39DD}"/>
              </c:ext>
            </c:extLst>
          </c:dPt>
          <c:dPt>
            <c:idx val="3"/>
            <c:invertIfNegative val="0"/>
            <c:bubble3D val="0"/>
            <c:spPr>
              <a:gradFill rotWithShape="1">
                <a:gsLst>
                  <a:gs pos="0">
                    <a:schemeClr val="accent4">
                      <a:shade val="76000"/>
                      <a:tint val="94000"/>
                      <a:satMod val="105000"/>
                      <a:lumMod val="102000"/>
                    </a:schemeClr>
                  </a:gs>
                  <a:gs pos="100000">
                    <a:schemeClr val="accent4">
                      <a:shade val="76000"/>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C0-428C-B78B-B65A9ABE39DD}"/>
              </c:ext>
            </c:extLst>
          </c:dPt>
          <c:cat>
            <c:strRef>
              <c:f>'department spendings '!$A$4:$A$9</c:f>
              <c:strCache>
                <c:ptCount val="5"/>
                <c:pt idx="0">
                  <c:v>Finance</c:v>
                </c:pt>
                <c:pt idx="1">
                  <c:v>IT</c:v>
                </c:pt>
                <c:pt idx="2">
                  <c:v>Marketing</c:v>
                </c:pt>
                <c:pt idx="3">
                  <c:v>HR</c:v>
                </c:pt>
                <c:pt idx="4">
                  <c:v>Sales</c:v>
                </c:pt>
              </c:strCache>
            </c:strRef>
          </c:cat>
          <c:val>
            <c:numRef>
              <c:f>'department spendings '!$C$4:$C$9</c:f>
              <c:numCache>
                <c:formatCode>General</c:formatCode>
                <c:ptCount val="5"/>
                <c:pt idx="0">
                  <c:v>67000</c:v>
                </c:pt>
                <c:pt idx="1">
                  <c:v>132000</c:v>
                </c:pt>
                <c:pt idx="2">
                  <c:v>170000</c:v>
                </c:pt>
                <c:pt idx="3">
                  <c:v>245000</c:v>
                </c:pt>
                <c:pt idx="4">
                  <c:v>540000</c:v>
                </c:pt>
              </c:numCache>
            </c:numRef>
          </c:val>
          <c:extLst>
            <c:ext xmlns:c16="http://schemas.microsoft.com/office/drawing/2014/chart" uri="{C3380CC4-5D6E-409C-BE32-E72D297353CC}">
              <c16:uniqueId val="{00000007-A110-4FD1-B8EC-6D7AF28A82C2}"/>
            </c:ext>
          </c:extLst>
        </c:ser>
        <c:dLbls>
          <c:showLegendKey val="0"/>
          <c:showVal val="0"/>
          <c:showCatName val="0"/>
          <c:showSerName val="0"/>
          <c:showPercent val="0"/>
          <c:showBubbleSize val="0"/>
        </c:dLbls>
        <c:gapWidth val="100"/>
        <c:overlap val="-24"/>
        <c:axId val="1002857375"/>
        <c:axId val="1002857855"/>
      </c:barChart>
      <c:catAx>
        <c:axId val="1002857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57855"/>
        <c:crosses val="autoZero"/>
        <c:auto val="1"/>
        <c:lblAlgn val="ctr"/>
        <c:lblOffset val="100"/>
        <c:noMultiLvlLbl val="0"/>
      </c:catAx>
      <c:valAx>
        <c:axId val="100285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57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department budget analysis .xlsx]Sheet3!PivotTable1</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Monthly</a:t>
            </a:r>
            <a:r>
              <a:rPr lang="en-IN" baseline="0"/>
              <a:t> Budget vs Actual Trend  </a:t>
            </a:r>
            <a:endParaRPr lang="en-IN"/>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38100" cap="rnd">
            <a:solidFill>
              <a:schemeClr val="accent4"/>
            </a:solidFill>
            <a:round/>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381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38100" cap="rnd">
            <a:solidFill>
              <a:schemeClr val="accent4">
                <a:tint val="77000"/>
              </a:schemeClr>
            </a:solidFill>
            <a:round/>
          </a:ln>
          <a:effectLst/>
        </c:spPr>
        <c:marker>
          <c:symbol val="circle"/>
          <c:size val="8"/>
          <c:spPr>
            <a:solidFill>
              <a:schemeClr val="accent4">
                <a:tint val="77000"/>
              </a:schemeClr>
            </a:solidFill>
            <a:ln>
              <a:noFill/>
            </a:ln>
            <a:effectLst/>
          </c:spPr>
        </c:marker>
      </c:pivotFmt>
      <c:pivotFmt>
        <c:idx val="9"/>
        <c:spPr>
          <a:solidFill>
            <a:schemeClr val="accent4"/>
          </a:solidFill>
          <a:ln w="38100" cap="rnd">
            <a:solidFill>
              <a:schemeClr val="accent4"/>
            </a:solidFill>
            <a:round/>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381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50800" cap="rnd">
            <a:solidFill>
              <a:schemeClr val="accent4"/>
            </a:solidFill>
            <a:round/>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ln w="508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50800" cap="rnd">
            <a:solidFill>
              <a:schemeClr val="accent4">
                <a:tint val="77000"/>
              </a:schemeClr>
            </a:solidFill>
            <a:round/>
          </a:ln>
          <a:effectLst/>
        </c:spPr>
        <c:marker>
          <c:symbol val="circle"/>
          <c:size val="8"/>
          <c:spPr>
            <a:solidFill>
              <a:schemeClr val="accent4">
                <a:tint val="77000"/>
              </a:schemeClr>
            </a:solidFill>
            <a:ln>
              <a:noFill/>
            </a:ln>
            <a:effectLst/>
          </c:spPr>
        </c:marker>
      </c:pivotFmt>
      <c:pivotFmt>
        <c:idx val="14"/>
        <c:spPr>
          <a:ln w="50800" cap="rnd">
            <a:solidFill>
              <a:schemeClr val="accent4">
                <a:tint val="77000"/>
              </a:schemeClr>
            </a:solidFill>
            <a:round/>
          </a:ln>
          <a:effectLst/>
        </c:spPr>
        <c:marker>
          <c:symbol val="circle"/>
          <c:size val="8"/>
          <c:spPr>
            <a:solidFill>
              <a:schemeClr val="accent4">
                <a:tint val="77000"/>
              </a:schemeClr>
            </a:solidFill>
            <a:ln>
              <a:noFill/>
            </a:ln>
            <a:effectLst/>
          </c:spPr>
        </c:marker>
      </c:pivotFmt>
    </c:pivotFmts>
    <c:plotArea>
      <c:layout>
        <c:manualLayout>
          <c:layoutTarget val="inner"/>
          <c:xMode val="edge"/>
          <c:yMode val="edge"/>
          <c:x val="9.2434690910784448E-2"/>
          <c:y val="0.27258903416889407"/>
          <c:w val="0.88432914516864103"/>
          <c:h val="0.61815117147053866"/>
        </c:manualLayout>
      </c:layout>
      <c:lineChart>
        <c:grouping val="standard"/>
        <c:varyColors val="0"/>
        <c:ser>
          <c:idx val="0"/>
          <c:order val="0"/>
          <c:tx>
            <c:strRef>
              <c:f>Sheet3!$B$3</c:f>
              <c:strCache>
                <c:ptCount val="1"/>
                <c:pt idx="0">
                  <c:v>Sum of Budget</c:v>
                </c:pt>
              </c:strCache>
            </c:strRef>
          </c:tx>
          <c:spPr>
            <a:ln w="50800" cap="rnd">
              <a:solidFill>
                <a:schemeClr val="accent4">
                  <a:shade val="76000"/>
                </a:schemeClr>
              </a:solidFill>
              <a:round/>
            </a:ln>
            <a:effectLst/>
          </c:spPr>
          <c:marker>
            <c:symbol val="circle"/>
            <c:size val="8"/>
            <c:spPr>
              <a:solidFill>
                <a:schemeClr val="accent4">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Sheet3!$A$4:$A$7</c:f>
              <c:strCache>
                <c:ptCount val="3"/>
                <c:pt idx="0">
                  <c:v>Jan</c:v>
                </c:pt>
                <c:pt idx="1">
                  <c:v>Feb</c:v>
                </c:pt>
                <c:pt idx="2">
                  <c:v>Mar</c:v>
                </c:pt>
              </c:strCache>
            </c:strRef>
          </c:cat>
          <c:val>
            <c:numRef>
              <c:f>Sheet3!$B$4:$B$7</c:f>
              <c:numCache>
                <c:formatCode>General</c:formatCode>
                <c:ptCount val="3"/>
                <c:pt idx="0">
                  <c:v>340000</c:v>
                </c:pt>
                <c:pt idx="1">
                  <c:v>361000</c:v>
                </c:pt>
                <c:pt idx="2">
                  <c:v>385000</c:v>
                </c:pt>
              </c:numCache>
            </c:numRef>
          </c:val>
          <c:smooth val="1"/>
          <c:extLst>
            <c:ext xmlns:c16="http://schemas.microsoft.com/office/drawing/2014/chart" uri="{C3380CC4-5D6E-409C-BE32-E72D297353CC}">
              <c16:uniqueId val="{00000000-FAAC-435C-9BAD-3AEAC2C6F3EA}"/>
            </c:ext>
          </c:extLst>
        </c:ser>
        <c:ser>
          <c:idx val="1"/>
          <c:order val="1"/>
          <c:tx>
            <c:strRef>
              <c:f>Sheet3!$C$3</c:f>
              <c:strCache>
                <c:ptCount val="1"/>
                <c:pt idx="0">
                  <c:v>Sum of Actual</c:v>
                </c:pt>
              </c:strCache>
            </c:strRef>
          </c:tx>
          <c:spPr>
            <a:ln w="50800" cap="rnd">
              <a:solidFill>
                <a:schemeClr val="accent4">
                  <a:tint val="77000"/>
                </a:schemeClr>
              </a:solidFill>
              <a:round/>
            </a:ln>
            <a:effectLst/>
          </c:spPr>
          <c:marker>
            <c:symbol val="circle"/>
            <c:size val="8"/>
            <c:spPr>
              <a:solidFill>
                <a:schemeClr val="accent4">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Sheet3!$A$4:$A$7</c:f>
              <c:strCache>
                <c:ptCount val="3"/>
                <c:pt idx="0">
                  <c:v>Jan</c:v>
                </c:pt>
                <c:pt idx="1">
                  <c:v>Feb</c:v>
                </c:pt>
                <c:pt idx="2">
                  <c:v>Mar</c:v>
                </c:pt>
              </c:strCache>
            </c:strRef>
          </c:cat>
          <c:val>
            <c:numRef>
              <c:f>Sheet3!$C$4:$C$7</c:f>
              <c:numCache>
                <c:formatCode>General</c:formatCode>
                <c:ptCount val="3"/>
                <c:pt idx="0">
                  <c:v>368000</c:v>
                </c:pt>
                <c:pt idx="1">
                  <c:v>380000</c:v>
                </c:pt>
                <c:pt idx="2">
                  <c:v>406000</c:v>
                </c:pt>
              </c:numCache>
            </c:numRef>
          </c:val>
          <c:smooth val="0"/>
          <c:extLst>
            <c:ext xmlns:c16="http://schemas.microsoft.com/office/drawing/2014/chart" uri="{C3380CC4-5D6E-409C-BE32-E72D297353CC}">
              <c16:uniqueId val="{00000001-FAAC-435C-9BAD-3AEAC2C6F3EA}"/>
            </c:ext>
          </c:extLst>
        </c:ser>
        <c:dLbls>
          <c:dLblPos val="t"/>
          <c:showLegendKey val="0"/>
          <c:showVal val="1"/>
          <c:showCatName val="0"/>
          <c:showSerName val="0"/>
          <c:showPercent val="0"/>
          <c:showBubbleSize val="0"/>
        </c:dLbls>
        <c:marker val="1"/>
        <c:smooth val="0"/>
        <c:axId val="154158751"/>
        <c:axId val="154154431"/>
      </c:lineChart>
      <c:catAx>
        <c:axId val="1541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4154431"/>
        <c:crossesAt val="0"/>
        <c:auto val="1"/>
        <c:lblAlgn val="ctr"/>
        <c:lblOffset val="100"/>
        <c:noMultiLvlLbl val="0"/>
      </c:catAx>
      <c:valAx>
        <c:axId val="15415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8751"/>
        <c:crosses val="autoZero"/>
        <c:crossBetween val="between"/>
        <c:majorUnit val="2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department budget analysis .xlsx]department spendings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a:t>
            </a:r>
            <a:r>
              <a:rPr lang="en-IN" baseline="0"/>
              <a:t> Spendings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85688273811099E-2"/>
              <c:y val="3.2175032175032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a:noFill/>
          </a:ln>
          <a:effectLst/>
        </c:spPr>
        <c:dLbl>
          <c:idx val="0"/>
          <c:layout>
            <c:manualLayout>
              <c:x val="-9.714170105827087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a:noFill/>
          </a:ln>
          <a:effectLst/>
        </c:spPr>
        <c:dLbl>
          <c:idx val="0"/>
          <c:layout>
            <c:manualLayout>
              <c:x val="9.714170105827042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76000"/>
            </a:schemeClr>
          </a:solidFill>
          <a:ln>
            <a:noFill/>
          </a:ln>
          <a:effectLst/>
        </c:spPr>
        <c:dLbl>
          <c:idx val="0"/>
          <c:layout>
            <c:manualLayout>
              <c:x val="7.285627579370315E-3"/>
              <c:y val="3.2175032175032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571255158740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a:noFill/>
          </a:ln>
          <a:effectLst/>
        </c:spPr>
        <c:dLbl>
          <c:idx val="0"/>
          <c:layout>
            <c:manualLayout>
              <c:x val="4.857085052913454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spendings '!$B$3</c:f>
              <c:strCache>
                <c:ptCount val="1"/>
                <c:pt idx="0">
                  <c:v>Sum of Budget</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0-61B1-46B8-81FB-A6CEC68C6719}"/>
              </c:ext>
            </c:extLst>
          </c:dPt>
          <c:dPt>
            <c:idx val="1"/>
            <c:invertIfNegative val="0"/>
            <c:bubble3D val="0"/>
            <c:spPr>
              <a:solidFill>
                <a:schemeClr val="accent1">
                  <a:shade val="76000"/>
                </a:schemeClr>
              </a:solidFill>
              <a:ln>
                <a:noFill/>
              </a:ln>
              <a:effectLst/>
            </c:spPr>
            <c:extLst>
              <c:ext xmlns:c16="http://schemas.microsoft.com/office/drawing/2014/chart" uri="{C3380CC4-5D6E-409C-BE32-E72D297353CC}">
                <c16:uniqueId val="{00000001-BFD8-4425-AED4-6D8167F35D3F}"/>
              </c:ext>
            </c:extLst>
          </c:dPt>
          <c:dPt>
            <c:idx val="2"/>
            <c:invertIfNegative val="0"/>
            <c:bubble3D val="0"/>
            <c:extLst>
              <c:ext xmlns:c16="http://schemas.microsoft.com/office/drawing/2014/chart" uri="{C3380CC4-5D6E-409C-BE32-E72D297353CC}">
                <c16:uniqueId val="{00000004-BFD8-4425-AED4-6D8167F35D3F}"/>
              </c:ext>
            </c:extLst>
          </c:dPt>
          <c:dPt>
            <c:idx val="3"/>
            <c:invertIfNegative val="0"/>
            <c:bubble3D val="0"/>
            <c:extLst>
              <c:ext xmlns:c16="http://schemas.microsoft.com/office/drawing/2014/chart" uri="{C3380CC4-5D6E-409C-BE32-E72D297353CC}">
                <c16:uniqueId val="{00000002-BFD8-4425-AED4-6D8167F35D3F}"/>
              </c:ext>
            </c:extLst>
          </c:dPt>
          <c:dPt>
            <c:idx val="4"/>
            <c:invertIfNegative val="0"/>
            <c:bubble3D val="0"/>
            <c:extLst>
              <c:ext xmlns:c16="http://schemas.microsoft.com/office/drawing/2014/chart" uri="{C3380CC4-5D6E-409C-BE32-E72D297353CC}">
                <c16:uniqueId val="{00000003-BFD8-4425-AED4-6D8167F35D3F}"/>
              </c:ext>
            </c:extLst>
          </c:dPt>
          <c:dLbls>
            <c:dLbl>
              <c:idx val="1"/>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D8-4425-AED4-6D8167F35D3F}"/>
                </c:ext>
              </c:extLst>
            </c:dLbl>
            <c:dLbl>
              <c:idx val="2"/>
              <c:layout>
                <c:manualLayout>
                  <c:x val="-1.45712551587406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D8-4425-AED4-6D8167F35D3F}"/>
                </c:ext>
              </c:extLst>
            </c:dLbl>
            <c:dLbl>
              <c:idx val="3"/>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D8-4425-AED4-6D8167F35D3F}"/>
                </c:ext>
              </c:extLst>
            </c:dLbl>
            <c:dLbl>
              <c:idx val="4"/>
              <c:layout>
                <c:manualLayout>
                  <c:x val="-2.185688273811099E-2"/>
                  <c:y val="3.21750321750321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D8-4425-AED4-6D8167F35D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spendings '!$A$4:$A$9</c:f>
              <c:strCache>
                <c:ptCount val="5"/>
                <c:pt idx="0">
                  <c:v>Finance</c:v>
                </c:pt>
                <c:pt idx="1">
                  <c:v>IT</c:v>
                </c:pt>
                <c:pt idx="2">
                  <c:v>Marketing</c:v>
                </c:pt>
                <c:pt idx="3">
                  <c:v>HR</c:v>
                </c:pt>
                <c:pt idx="4">
                  <c:v>Sales</c:v>
                </c:pt>
              </c:strCache>
            </c:strRef>
          </c:cat>
          <c:val>
            <c:numRef>
              <c:f>'department spendings '!$B$4:$B$9</c:f>
              <c:numCache>
                <c:formatCode>General</c:formatCode>
                <c:ptCount val="5"/>
                <c:pt idx="0">
                  <c:v>67000</c:v>
                </c:pt>
                <c:pt idx="1">
                  <c:v>127000</c:v>
                </c:pt>
                <c:pt idx="2">
                  <c:v>165000</c:v>
                </c:pt>
                <c:pt idx="3">
                  <c:v>247000</c:v>
                </c:pt>
                <c:pt idx="4">
                  <c:v>480000</c:v>
                </c:pt>
              </c:numCache>
            </c:numRef>
          </c:val>
          <c:extLst>
            <c:ext xmlns:c16="http://schemas.microsoft.com/office/drawing/2014/chart" uri="{C3380CC4-5D6E-409C-BE32-E72D297353CC}">
              <c16:uniqueId val="{00000000-330A-49BB-B73D-9D6853A55EE0}"/>
            </c:ext>
          </c:extLst>
        </c:ser>
        <c:ser>
          <c:idx val="1"/>
          <c:order val="1"/>
          <c:tx>
            <c:strRef>
              <c:f>'department spendings '!$C$3</c:f>
              <c:strCache>
                <c:ptCount val="1"/>
                <c:pt idx="0">
                  <c:v>Sum of Actual</c:v>
                </c:pt>
              </c:strCache>
            </c:strRef>
          </c:tx>
          <c:spPr>
            <a:solidFill>
              <a:schemeClr val="accent1">
                <a:shade val="76000"/>
              </a:schemeClr>
            </a:solidFill>
            <a:ln>
              <a:noFill/>
            </a:ln>
            <a:effectLst/>
          </c:spPr>
          <c:invertIfNegative val="0"/>
          <c:dPt>
            <c:idx val="0"/>
            <c:invertIfNegative val="0"/>
            <c:bubble3D val="0"/>
            <c:extLst>
              <c:ext xmlns:c16="http://schemas.microsoft.com/office/drawing/2014/chart" uri="{C3380CC4-5D6E-409C-BE32-E72D297353CC}">
                <c16:uniqueId val="{00000001-61B1-46B8-81FB-A6CEC68C6719}"/>
              </c:ext>
            </c:extLst>
          </c:dPt>
          <c:dPt>
            <c:idx val="1"/>
            <c:invertIfNegative val="0"/>
            <c:bubble3D val="0"/>
            <c:spPr>
              <a:solidFill>
                <a:schemeClr val="accent1">
                  <a:shade val="76000"/>
                </a:schemeClr>
              </a:solidFill>
              <a:ln>
                <a:noFill/>
              </a:ln>
              <a:effectLst/>
            </c:spPr>
            <c:extLst>
              <c:ext xmlns:c16="http://schemas.microsoft.com/office/drawing/2014/chart" uri="{C3380CC4-5D6E-409C-BE32-E72D297353CC}">
                <c16:uniqueId val="{00000007-BFD8-4425-AED4-6D8167F35D3F}"/>
              </c:ext>
            </c:extLst>
          </c:dPt>
          <c:dPt>
            <c:idx val="2"/>
            <c:invertIfNegative val="0"/>
            <c:bubble3D val="0"/>
            <c:spPr>
              <a:solidFill>
                <a:schemeClr val="accent1">
                  <a:shade val="76000"/>
                </a:schemeClr>
              </a:solidFill>
              <a:ln>
                <a:noFill/>
              </a:ln>
              <a:effectLst/>
            </c:spPr>
            <c:extLst>
              <c:ext xmlns:c16="http://schemas.microsoft.com/office/drawing/2014/chart" uri="{C3380CC4-5D6E-409C-BE32-E72D297353CC}">
                <c16:uniqueId val="{00000008-BFD8-4425-AED4-6D8167F35D3F}"/>
              </c:ext>
            </c:extLst>
          </c:dPt>
          <c:dPt>
            <c:idx val="3"/>
            <c:invertIfNegative val="0"/>
            <c:bubble3D val="0"/>
            <c:spPr>
              <a:solidFill>
                <a:schemeClr val="accent1">
                  <a:shade val="76000"/>
                </a:schemeClr>
              </a:solidFill>
              <a:ln>
                <a:noFill/>
              </a:ln>
              <a:effectLst/>
            </c:spPr>
            <c:extLst>
              <c:ext xmlns:c16="http://schemas.microsoft.com/office/drawing/2014/chart" uri="{C3380CC4-5D6E-409C-BE32-E72D297353CC}">
                <c16:uniqueId val="{00000009-BFD8-4425-AED4-6D8167F35D3F}"/>
              </c:ext>
            </c:extLst>
          </c:dPt>
          <c:dPt>
            <c:idx val="4"/>
            <c:invertIfNegative val="0"/>
            <c:bubble3D val="0"/>
            <c:spPr>
              <a:solidFill>
                <a:schemeClr val="accent1">
                  <a:shade val="76000"/>
                </a:schemeClr>
              </a:solidFill>
              <a:ln>
                <a:noFill/>
              </a:ln>
              <a:effectLst/>
            </c:spPr>
            <c:extLst>
              <c:ext xmlns:c16="http://schemas.microsoft.com/office/drawing/2014/chart" uri="{C3380CC4-5D6E-409C-BE32-E72D297353CC}">
                <c16:uniqueId val="{00000006-BFD8-4425-AED4-6D8167F35D3F}"/>
              </c:ext>
            </c:extLst>
          </c:dPt>
          <c:dLbls>
            <c:dLbl>
              <c:idx val="1"/>
              <c:layout>
                <c:manualLayout>
                  <c:x val="7.285627579370315E-3"/>
                  <c:y val="3.21750321750321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D8-4425-AED4-6D8167F35D3F}"/>
                </c:ext>
              </c:extLst>
            </c:dLbl>
            <c:dLbl>
              <c:idx val="2"/>
              <c:layout>
                <c:manualLayout>
                  <c:x val="4.857085052913454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D8-4425-AED4-6D8167F35D3F}"/>
                </c:ext>
              </c:extLst>
            </c:dLbl>
            <c:dLbl>
              <c:idx val="3"/>
              <c:layout>
                <c:manualLayout>
                  <c:x val="9.714170105827042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D8-4425-AED4-6D8167F35D3F}"/>
                </c:ext>
              </c:extLst>
            </c:dLbl>
            <c:dLbl>
              <c:idx val="4"/>
              <c:layout>
                <c:manualLayout>
                  <c:x val="-9.71417010582708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D8-4425-AED4-6D8167F35D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spendings '!$A$4:$A$9</c:f>
              <c:strCache>
                <c:ptCount val="5"/>
                <c:pt idx="0">
                  <c:v>Finance</c:v>
                </c:pt>
                <c:pt idx="1">
                  <c:v>IT</c:v>
                </c:pt>
                <c:pt idx="2">
                  <c:v>Marketing</c:v>
                </c:pt>
                <c:pt idx="3">
                  <c:v>HR</c:v>
                </c:pt>
                <c:pt idx="4">
                  <c:v>Sales</c:v>
                </c:pt>
              </c:strCache>
            </c:strRef>
          </c:cat>
          <c:val>
            <c:numRef>
              <c:f>'department spendings '!$C$4:$C$9</c:f>
              <c:numCache>
                <c:formatCode>General</c:formatCode>
                <c:ptCount val="5"/>
                <c:pt idx="0">
                  <c:v>67000</c:v>
                </c:pt>
                <c:pt idx="1">
                  <c:v>132000</c:v>
                </c:pt>
                <c:pt idx="2">
                  <c:v>170000</c:v>
                </c:pt>
                <c:pt idx="3">
                  <c:v>245000</c:v>
                </c:pt>
                <c:pt idx="4">
                  <c:v>540000</c:v>
                </c:pt>
              </c:numCache>
            </c:numRef>
          </c:val>
          <c:extLst>
            <c:ext xmlns:c16="http://schemas.microsoft.com/office/drawing/2014/chart" uri="{C3380CC4-5D6E-409C-BE32-E72D297353CC}">
              <c16:uniqueId val="{00000001-330A-49BB-B73D-9D6853A55EE0}"/>
            </c:ext>
          </c:extLst>
        </c:ser>
        <c:dLbls>
          <c:showLegendKey val="0"/>
          <c:showVal val="1"/>
          <c:showCatName val="0"/>
          <c:showSerName val="0"/>
          <c:showPercent val="0"/>
          <c:showBubbleSize val="0"/>
        </c:dLbls>
        <c:gapWidth val="150"/>
        <c:overlap val="-25"/>
        <c:axId val="1002857375"/>
        <c:axId val="1002857855"/>
      </c:barChart>
      <c:catAx>
        <c:axId val="100285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857855"/>
        <c:crosses val="autoZero"/>
        <c:auto val="1"/>
        <c:lblAlgn val="ctr"/>
        <c:lblOffset val="100"/>
        <c:noMultiLvlLbl val="0"/>
      </c:catAx>
      <c:valAx>
        <c:axId val="1002857855"/>
        <c:scaling>
          <c:orientation val="minMax"/>
        </c:scaling>
        <c:delete val="1"/>
        <c:axPos val="l"/>
        <c:numFmt formatCode="General" sourceLinked="1"/>
        <c:majorTickMark val="none"/>
        <c:minorTickMark val="none"/>
        <c:tickLblPos val="nextTo"/>
        <c:crossAx val="1002857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department budget analysis .xlsx]sum of Varience !PivotTable8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Department</a:t>
            </a:r>
            <a:r>
              <a:rPr lang="en-US" baseline="0"/>
              <a:t> Varience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s>
    <c:plotArea>
      <c:layout>
        <c:manualLayout>
          <c:layoutTarget val="inner"/>
          <c:xMode val="edge"/>
          <c:yMode val="edge"/>
          <c:x val="0.1196848083250157"/>
          <c:y val="0.15854184893554973"/>
          <c:w val="0.84510392406935053"/>
          <c:h val="0.78590259550889474"/>
        </c:manualLayout>
      </c:layout>
      <c:barChart>
        <c:barDir val="col"/>
        <c:grouping val="clustered"/>
        <c:varyColors val="0"/>
        <c:ser>
          <c:idx val="0"/>
          <c:order val="0"/>
          <c:tx>
            <c:strRef>
              <c:f>'sum of Varience '!$B$3</c:f>
              <c:strCache>
                <c:ptCount val="1"/>
                <c:pt idx="0">
                  <c:v>Total</c:v>
                </c:pt>
              </c:strCache>
            </c:strRef>
          </c:tx>
          <c:spPr>
            <a:solidFill>
              <a:srgbClr val="92D050"/>
            </a:solidFill>
            <a:ln>
              <a:noFill/>
            </a:ln>
            <a:effectLst/>
          </c:spPr>
          <c:invertIfNegative val="1"/>
          <c:dPt>
            <c:idx val="4"/>
            <c:invertIfNegative val="1"/>
            <c:bubble3D val="0"/>
            <c:spPr>
              <a:solidFill>
                <a:srgbClr val="92D050"/>
              </a:solidFill>
              <a:ln>
                <a:noFill/>
              </a:ln>
              <a:effectLst/>
            </c:spPr>
            <c:extLst>
              <c:ext xmlns:c16="http://schemas.microsoft.com/office/drawing/2014/chart" uri="{C3380CC4-5D6E-409C-BE32-E72D297353CC}">
                <c16:uniqueId val="{0000000B-2201-4108-85D6-29E459AB58E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Varience '!$A$4:$A$9</c:f>
              <c:strCache>
                <c:ptCount val="5"/>
                <c:pt idx="0">
                  <c:v>Finance</c:v>
                </c:pt>
                <c:pt idx="1">
                  <c:v>HR</c:v>
                </c:pt>
                <c:pt idx="2">
                  <c:v>IT</c:v>
                </c:pt>
                <c:pt idx="3">
                  <c:v>Marketing</c:v>
                </c:pt>
                <c:pt idx="4">
                  <c:v>Sales</c:v>
                </c:pt>
              </c:strCache>
            </c:strRef>
          </c:cat>
          <c:val>
            <c:numRef>
              <c:f>'sum of Varience '!$B$4:$B$9</c:f>
              <c:numCache>
                <c:formatCode>General</c:formatCode>
                <c:ptCount val="5"/>
                <c:pt idx="0">
                  <c:v>0</c:v>
                </c:pt>
                <c:pt idx="1">
                  <c:v>2000</c:v>
                </c:pt>
                <c:pt idx="2">
                  <c:v>-5000</c:v>
                </c:pt>
                <c:pt idx="3">
                  <c:v>-5000</c:v>
                </c:pt>
                <c:pt idx="4">
                  <c:v>-60000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1-4108-85D6-29E459AB58EF}"/>
            </c:ext>
          </c:extLst>
        </c:ser>
        <c:dLbls>
          <c:dLblPos val="outEnd"/>
          <c:showLegendKey val="0"/>
          <c:showVal val="1"/>
          <c:showCatName val="0"/>
          <c:showSerName val="0"/>
          <c:showPercent val="0"/>
          <c:showBubbleSize val="0"/>
        </c:dLbls>
        <c:gapWidth val="219"/>
        <c:overlap val="-27"/>
        <c:axId val="1002876575"/>
        <c:axId val="1002877055"/>
      </c:barChart>
      <c:catAx>
        <c:axId val="1002876575"/>
        <c:scaling>
          <c:orientation val="minMax"/>
        </c:scaling>
        <c:delete val="1"/>
        <c:axPos val="b"/>
        <c:numFmt formatCode="General" sourceLinked="1"/>
        <c:majorTickMark val="out"/>
        <c:minorTickMark val="none"/>
        <c:tickLblPos val="nextTo"/>
        <c:crossAx val="1002877055"/>
        <c:crosses val="autoZero"/>
        <c:auto val="1"/>
        <c:lblAlgn val="ctr"/>
        <c:lblOffset val="100"/>
        <c:noMultiLvlLbl val="0"/>
      </c:catAx>
      <c:valAx>
        <c:axId val="100287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287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department budget analysis .xlsx]Monthly Revenue &amp; Expense Analy!PivotTable11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&amp; Expense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6434216441178"/>
          <c:y val="0.1631715383035062"/>
          <c:w val="0.82979935775522418"/>
          <c:h val="0.73758420822397197"/>
        </c:manualLayout>
      </c:layout>
      <c:barChart>
        <c:barDir val="col"/>
        <c:grouping val="stacked"/>
        <c:varyColors val="0"/>
        <c:ser>
          <c:idx val="0"/>
          <c:order val="0"/>
          <c:tx>
            <c:strRef>
              <c:f>'Monthly Revenue &amp; Expense Analy'!$B$3</c:f>
              <c:strCache>
                <c:ptCount val="1"/>
                <c:pt idx="0">
                  <c:v>Sum of Budget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&amp; Expense Analy'!$A$4:$A$6</c:f>
              <c:strCache>
                <c:ptCount val="2"/>
                <c:pt idx="0">
                  <c:v>Expense</c:v>
                </c:pt>
                <c:pt idx="1">
                  <c:v>Revenue</c:v>
                </c:pt>
              </c:strCache>
            </c:strRef>
          </c:cat>
          <c:val>
            <c:numRef>
              <c:f>'Monthly Revenue &amp; Expense Analy'!$B$4:$B$6</c:f>
              <c:numCache>
                <c:formatCode>General</c:formatCode>
                <c:ptCount val="2"/>
                <c:pt idx="0">
                  <c:v>215000</c:v>
                </c:pt>
                <c:pt idx="1">
                  <c:v>170000</c:v>
                </c:pt>
              </c:numCache>
            </c:numRef>
          </c:val>
          <c:extLst>
            <c:ext xmlns:c16="http://schemas.microsoft.com/office/drawing/2014/chart" uri="{C3380CC4-5D6E-409C-BE32-E72D297353CC}">
              <c16:uniqueId val="{00000007-D6A6-4729-A80A-F9402CD9053E}"/>
            </c:ext>
          </c:extLst>
        </c:ser>
        <c:ser>
          <c:idx val="1"/>
          <c:order val="1"/>
          <c:tx>
            <c:strRef>
              <c:f>'Monthly Revenue &amp; Expense Analy'!$C$3</c:f>
              <c:strCache>
                <c:ptCount val="1"/>
                <c:pt idx="0">
                  <c:v>Sum of Actual</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&amp; Expense Analy'!$A$4:$A$6</c:f>
              <c:strCache>
                <c:ptCount val="2"/>
                <c:pt idx="0">
                  <c:v>Expense</c:v>
                </c:pt>
                <c:pt idx="1">
                  <c:v>Revenue</c:v>
                </c:pt>
              </c:strCache>
            </c:strRef>
          </c:cat>
          <c:val>
            <c:numRef>
              <c:f>'Monthly Revenue &amp; Expense Analy'!$C$4:$C$6</c:f>
              <c:numCache>
                <c:formatCode>General</c:formatCode>
                <c:ptCount val="2"/>
                <c:pt idx="0">
                  <c:v>216000</c:v>
                </c:pt>
                <c:pt idx="1">
                  <c:v>190000</c:v>
                </c:pt>
              </c:numCache>
            </c:numRef>
          </c:val>
          <c:extLst>
            <c:ext xmlns:c16="http://schemas.microsoft.com/office/drawing/2014/chart" uri="{C3380CC4-5D6E-409C-BE32-E72D297353CC}">
              <c16:uniqueId val="{00000008-D6A6-4729-A80A-F9402CD9053E}"/>
            </c:ext>
          </c:extLst>
        </c:ser>
        <c:dLbls>
          <c:dLblPos val="ctr"/>
          <c:showLegendKey val="0"/>
          <c:showVal val="1"/>
          <c:showCatName val="0"/>
          <c:showSerName val="0"/>
          <c:showPercent val="0"/>
          <c:showBubbleSize val="0"/>
        </c:dLbls>
        <c:gapWidth val="150"/>
        <c:overlap val="100"/>
        <c:axId val="925138079"/>
        <c:axId val="925131359"/>
      </c:barChart>
      <c:catAx>
        <c:axId val="925138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31359"/>
        <c:crosses val="autoZero"/>
        <c:auto val="1"/>
        <c:lblAlgn val="ctr"/>
        <c:lblOffset val="100"/>
        <c:noMultiLvlLbl val="0"/>
      </c:catAx>
      <c:valAx>
        <c:axId val="92513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38079"/>
        <c:crosses val="autoZero"/>
        <c:crossBetween val="between"/>
      </c:valAx>
      <c:spPr>
        <a:noFill/>
        <a:ln>
          <a:noFill/>
        </a:ln>
        <a:effectLst/>
      </c:spPr>
    </c:plotArea>
    <c:legend>
      <c:legendPos val="t"/>
      <c:layout>
        <c:manualLayout>
          <c:xMode val="edge"/>
          <c:yMode val="edge"/>
          <c:x val="0.28362730132806557"/>
          <c:y val="0.10265727516649757"/>
          <c:w val="0.21284475169896358"/>
          <c:h val="5.05849811956740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webextension" Target="../webextensions/webextension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12999</xdr:rowOff>
    </xdr:from>
    <xdr:to>
      <xdr:col>3</xdr:col>
      <xdr:colOff>53340</xdr:colOff>
      <xdr:row>27</xdr:row>
      <xdr:rowOff>45720</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90FC89B0-4352-4216-824B-4E55D84F220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3167679"/>
              <a:ext cx="2125980" cy="1610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18</xdr:row>
      <xdr:rowOff>53341</xdr:rowOff>
    </xdr:from>
    <xdr:to>
      <xdr:col>20</xdr:col>
      <xdr:colOff>0</xdr:colOff>
      <xdr:row>34</xdr:row>
      <xdr:rowOff>22860</xdr:rowOff>
    </xdr:to>
    <xdr:graphicFrame macro="">
      <xdr:nvGraphicFramePr>
        <xdr:cNvPr id="4" name="Chart 3">
          <a:extLst>
            <a:ext uri="{FF2B5EF4-FFF2-40B4-BE49-F238E27FC236}">
              <a16:creationId xmlns:a16="http://schemas.microsoft.com/office/drawing/2014/main" id="{2D3A9CDA-31F6-47E4-B32F-223EF833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8964</xdr:colOff>
      <xdr:row>0</xdr:row>
      <xdr:rowOff>31825</xdr:rowOff>
    </xdr:from>
    <xdr:to>
      <xdr:col>16</xdr:col>
      <xdr:colOff>0</xdr:colOff>
      <xdr:row>3</xdr:row>
      <xdr:rowOff>0</xdr:rowOff>
    </xdr:to>
    <xdr:sp macro="" textlink="">
      <xdr:nvSpPr>
        <xdr:cNvPr id="9" name="Rectangle 8">
          <a:extLst>
            <a:ext uri="{FF2B5EF4-FFF2-40B4-BE49-F238E27FC236}">
              <a16:creationId xmlns:a16="http://schemas.microsoft.com/office/drawing/2014/main" id="{B6952E72-77DB-FD33-D4A0-CB8A5E4B5850}"/>
            </a:ext>
          </a:extLst>
        </xdr:cNvPr>
        <xdr:cNvSpPr/>
      </xdr:nvSpPr>
      <xdr:spPr>
        <a:xfrm>
          <a:off x="4855284" y="31825"/>
          <a:ext cx="6026076" cy="493955"/>
        </a:xfrm>
        <a:prstGeom prst="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a:t>MONTHLY DEPARTMENTAL SPENDINGS </a:t>
          </a:r>
        </a:p>
      </xdr:txBody>
    </xdr:sp>
    <xdr:clientData/>
  </xdr:twoCellAnchor>
  <xdr:twoCellAnchor>
    <xdr:from>
      <xdr:col>15</xdr:col>
      <xdr:colOff>349624</xdr:colOff>
      <xdr:row>40</xdr:row>
      <xdr:rowOff>62752</xdr:rowOff>
    </xdr:from>
    <xdr:to>
      <xdr:col>22</xdr:col>
      <xdr:colOff>590549</xdr:colOff>
      <xdr:row>49</xdr:row>
      <xdr:rowOff>71716</xdr:rowOff>
    </xdr:to>
    <mc:AlternateContent xmlns:mc="http://schemas.openxmlformats.org/markup-compatibility/2006">
      <mc:Choice xmlns:we="http://schemas.microsoft.com/office/webextensions/webextension/2010/11" Requires="we">
        <xdr:graphicFrame macro="">
          <xdr:nvGraphicFramePr>
            <xdr:cNvPr id="7" name="Add-in 6">
              <a:extLst>
                <a:ext uri="{FF2B5EF4-FFF2-40B4-BE49-F238E27FC236}">
                  <a16:creationId xmlns:a16="http://schemas.microsoft.com/office/drawing/2014/main" id="{E70D0CE8-B1D0-1AAA-FBBE-7381C6F50D63}"/>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2"/>
            </a:graphicData>
          </a:graphic>
        </xdr:graphicFrame>
      </mc:Choice>
      <mc:Fallback>
        <xdr:pic>
          <xdr:nvPicPr>
            <xdr:cNvPr id="7" name="Add-in 6">
              <a:extLst>
                <a:ext uri="{FF2B5EF4-FFF2-40B4-BE49-F238E27FC236}">
                  <a16:creationId xmlns:a16="http://schemas.microsoft.com/office/drawing/2014/main" id="{E70D0CE8-B1D0-1AAA-FBBE-7381C6F50D63}"/>
                </a:ext>
              </a:extLst>
            </xdr:cNvPr>
            <xdr:cNvPicPr/>
          </xdr:nvPicPr>
          <xdr:blipFill>
            <a:blip xmlns:r="http://schemas.openxmlformats.org/officeDocument/2006/relationships" r:embed="rId3"/>
            <a:stretch>
              <a:fillRect/>
            </a:stretch>
          </xdr:blipFill>
          <xdr:spPr>
            <a:prstGeom prst="rect">
              <a:avLst/>
            </a:prstGeom>
          </xdr:spPr>
        </xdr:pic>
      </mc:Fallback>
    </mc:AlternateContent>
    <xdr:clientData/>
  </xdr:twoCellAnchor>
  <xdr:twoCellAnchor>
    <xdr:from>
      <xdr:col>0</xdr:col>
      <xdr:colOff>0</xdr:colOff>
      <xdr:row>4</xdr:row>
      <xdr:rowOff>0</xdr:rowOff>
    </xdr:from>
    <xdr:to>
      <xdr:col>3</xdr:col>
      <xdr:colOff>15240</xdr:colOff>
      <xdr:row>7</xdr:row>
      <xdr:rowOff>0</xdr:rowOff>
    </xdr:to>
    <xdr:sp macro="" textlink="">
      <xdr:nvSpPr>
        <xdr:cNvPr id="14" name="TextBox 13">
          <a:extLst>
            <a:ext uri="{FF2B5EF4-FFF2-40B4-BE49-F238E27FC236}">
              <a16:creationId xmlns:a16="http://schemas.microsoft.com/office/drawing/2014/main" id="{BF9E479B-1792-E1E4-40CA-42366F8859DC}"/>
            </a:ext>
          </a:extLst>
        </xdr:cNvPr>
        <xdr:cNvSpPr txBox="1"/>
      </xdr:nvSpPr>
      <xdr:spPr>
        <a:xfrm>
          <a:off x="0" y="701040"/>
          <a:ext cx="2087880" cy="52578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panose="020B0604020202020204" pitchFamily="34" charset="0"/>
              <a:cs typeface="Arial" panose="020B0604020202020204" pitchFamily="34" charset="0"/>
            </a:rPr>
            <a:t>Total Budget </a:t>
          </a:r>
        </a:p>
      </xdr:txBody>
    </xdr:sp>
    <xdr:clientData/>
  </xdr:twoCellAnchor>
  <xdr:twoCellAnchor>
    <xdr:from>
      <xdr:col>3</xdr:col>
      <xdr:colOff>22860</xdr:colOff>
      <xdr:row>4</xdr:row>
      <xdr:rowOff>0</xdr:rowOff>
    </xdr:from>
    <xdr:to>
      <xdr:col>11</xdr:col>
      <xdr:colOff>22860</xdr:colOff>
      <xdr:row>34</xdr:row>
      <xdr:rowOff>0</xdr:rowOff>
    </xdr:to>
    <xdr:graphicFrame macro="">
      <xdr:nvGraphicFramePr>
        <xdr:cNvPr id="17" name="Chart 16">
          <a:extLst>
            <a:ext uri="{FF2B5EF4-FFF2-40B4-BE49-F238E27FC236}">
              <a16:creationId xmlns:a16="http://schemas.microsoft.com/office/drawing/2014/main" id="{C5A834E5-B25F-6C13-7FE1-C95394858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xdr:colOff>
      <xdr:row>4</xdr:row>
      <xdr:rowOff>7620</xdr:rowOff>
    </xdr:from>
    <xdr:to>
      <xdr:col>20</xdr:col>
      <xdr:colOff>7620</xdr:colOff>
      <xdr:row>18</xdr:row>
      <xdr:rowOff>45720</xdr:rowOff>
    </xdr:to>
    <xdr:graphicFrame macro="">
      <xdr:nvGraphicFramePr>
        <xdr:cNvPr id="3" name="Chart 2">
          <a:extLst>
            <a:ext uri="{FF2B5EF4-FFF2-40B4-BE49-F238E27FC236}">
              <a16:creationId xmlns:a16="http://schemas.microsoft.com/office/drawing/2014/main" id="{CBA24EAD-06CD-4DB0-9015-E3D57D136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27</xdr:row>
      <xdr:rowOff>45720</xdr:rowOff>
    </xdr:from>
    <xdr:to>
      <xdr:col>3</xdr:col>
      <xdr:colOff>30480</xdr:colOff>
      <xdr:row>34</xdr:row>
      <xdr:rowOff>7620</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126EA241-1D55-4372-BCB6-A68745A89B2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2860" y="4777740"/>
              <a:ext cx="208026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11</xdr:row>
      <xdr:rowOff>7620</xdr:rowOff>
    </xdr:from>
    <xdr:to>
      <xdr:col>3</xdr:col>
      <xdr:colOff>22860</xdr:colOff>
      <xdr:row>13</xdr:row>
      <xdr:rowOff>160020</xdr:rowOff>
    </xdr:to>
    <xdr:sp macro="" textlink="">
      <xdr:nvSpPr>
        <xdr:cNvPr id="12" name="Rectangle 11">
          <a:extLst>
            <a:ext uri="{FF2B5EF4-FFF2-40B4-BE49-F238E27FC236}">
              <a16:creationId xmlns:a16="http://schemas.microsoft.com/office/drawing/2014/main" id="{20F7558A-FFFB-4B62-443C-4C15BB992951}"/>
            </a:ext>
          </a:extLst>
        </xdr:cNvPr>
        <xdr:cNvSpPr/>
      </xdr:nvSpPr>
      <xdr:spPr>
        <a:xfrm>
          <a:off x="7620" y="1935480"/>
          <a:ext cx="2087880" cy="502920"/>
        </a:xfrm>
        <a:prstGeom prst="rect">
          <a:avLst/>
        </a:prstGeom>
        <a:solidFill>
          <a:schemeClr val="accent4">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b="1">
              <a:latin typeface="Arial" panose="020B0604020202020204" pitchFamily="34" charset="0"/>
              <a:cs typeface="Arial" panose="020B0604020202020204" pitchFamily="34" charset="0"/>
            </a:rPr>
            <a:t>Total Actual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106680</xdr:colOff>
      <xdr:row>8</xdr:row>
      <xdr:rowOff>99060</xdr:rowOff>
    </xdr:from>
    <xdr:to>
      <xdr:col>8</xdr:col>
      <xdr:colOff>594360</xdr:colOff>
      <xdr:row>21</xdr:row>
      <xdr:rowOff>173355</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AD1BBFAC-9DBE-FB54-AFB3-B4E60B5457C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389120" y="15011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110490</xdr:colOff>
      <xdr:row>0</xdr:row>
      <xdr:rowOff>99060</xdr:rowOff>
    </xdr:from>
    <xdr:to>
      <xdr:col>11</xdr:col>
      <xdr:colOff>655320</xdr:colOff>
      <xdr:row>23</xdr:row>
      <xdr:rowOff>83820</xdr:rowOff>
    </xdr:to>
    <xdr:graphicFrame macro="">
      <xdr:nvGraphicFramePr>
        <xdr:cNvPr id="2" name="Chart 1">
          <a:extLst>
            <a:ext uri="{FF2B5EF4-FFF2-40B4-BE49-F238E27FC236}">
              <a16:creationId xmlns:a16="http://schemas.microsoft.com/office/drawing/2014/main" id="{E72EBD16-003D-66E6-2852-E51FD570C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143455</xdr:colOff>
      <xdr:row>9</xdr:row>
      <xdr:rowOff>161676</xdr:rowOff>
    </xdr:from>
    <xdr:to>
      <xdr:col>2</xdr:col>
      <xdr:colOff>136829</xdr:colOff>
      <xdr:row>19</xdr:row>
      <xdr:rowOff>13252</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9D53070-8DDC-37A2-56DD-DC21F21AED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455" y="1712180"/>
              <a:ext cx="1828800" cy="157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152400</xdr:rowOff>
    </xdr:from>
    <xdr:to>
      <xdr:col>11</xdr:col>
      <xdr:colOff>342900</xdr:colOff>
      <xdr:row>21</xdr:row>
      <xdr:rowOff>11430</xdr:rowOff>
    </xdr:to>
    <xdr:graphicFrame macro="">
      <xdr:nvGraphicFramePr>
        <xdr:cNvPr id="3" name="Chart 2">
          <a:extLst>
            <a:ext uri="{FF2B5EF4-FFF2-40B4-BE49-F238E27FC236}">
              <a16:creationId xmlns:a16="http://schemas.microsoft.com/office/drawing/2014/main" id="{DD3A0806-7D2D-05A4-A555-6D02782EC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297180</xdr:colOff>
      <xdr:row>9</xdr:row>
      <xdr:rowOff>160020</xdr:rowOff>
    </xdr:from>
    <xdr:to>
      <xdr:col>12</xdr:col>
      <xdr:colOff>114300</xdr:colOff>
      <xdr:row>23</xdr:row>
      <xdr:rowOff>59055</xdr:rowOff>
    </xdr:to>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E39C7606-D729-1533-CF09-A5914207514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301740" y="17373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9</xdr:row>
      <xdr:rowOff>38100</xdr:rowOff>
    </xdr:from>
    <xdr:to>
      <xdr:col>14</xdr:col>
      <xdr:colOff>487680</xdr:colOff>
      <xdr:row>22</xdr:row>
      <xdr:rowOff>112395</xdr:rowOff>
    </xdr:to>
    <mc:AlternateContent xmlns:mc="http://schemas.openxmlformats.org/markup-compatibility/2006" xmlns:a14="http://schemas.microsoft.com/office/drawing/2010/main">
      <mc:Choice Requires="a14">
        <xdr:graphicFrame macro="">
          <xdr:nvGraphicFramePr>
            <xdr:cNvPr id="4" name="Varience">
              <a:extLst>
                <a:ext uri="{FF2B5EF4-FFF2-40B4-BE49-F238E27FC236}">
                  <a16:creationId xmlns:a16="http://schemas.microsoft.com/office/drawing/2014/main" id="{FB794887-851A-9A69-692A-EF3A53EDCBEA}"/>
                </a:ext>
              </a:extLst>
            </xdr:cNvPr>
            <xdr:cNvGraphicFramePr/>
          </xdr:nvGraphicFramePr>
          <xdr:xfrm>
            <a:off x="0" y="0"/>
            <a:ext cx="0" cy="0"/>
          </xdr:xfrm>
          <a:graphic>
            <a:graphicData uri="http://schemas.microsoft.com/office/drawing/2010/slicer">
              <sle:slicer xmlns:sle="http://schemas.microsoft.com/office/drawing/2010/slicer" name="Varience"/>
            </a:graphicData>
          </a:graphic>
        </xdr:graphicFrame>
      </mc:Choice>
      <mc:Fallback xmlns="">
        <xdr:sp macro="" textlink="">
          <xdr:nvSpPr>
            <xdr:cNvPr id="0" name=""/>
            <xdr:cNvSpPr>
              <a:spLocks noTextEdit="1"/>
            </xdr:cNvSpPr>
          </xdr:nvSpPr>
          <xdr:spPr>
            <a:xfrm>
              <a:off x="8016240" y="16154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5535</xdr:colOff>
      <xdr:row>3</xdr:row>
      <xdr:rowOff>2293</xdr:rowOff>
    </xdr:from>
    <xdr:to>
      <xdr:col>14</xdr:col>
      <xdr:colOff>8965</xdr:colOff>
      <xdr:row>25</xdr:row>
      <xdr:rowOff>0</xdr:rowOff>
    </xdr:to>
    <xdr:graphicFrame macro="">
      <xdr:nvGraphicFramePr>
        <xdr:cNvPr id="2" name="Chart 1">
          <a:extLst>
            <a:ext uri="{FF2B5EF4-FFF2-40B4-BE49-F238E27FC236}">
              <a16:creationId xmlns:a16="http://schemas.microsoft.com/office/drawing/2014/main" id="{A2931E26-C298-793E-261E-D0CACBAF8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224118</xdr:colOff>
      <xdr:row>12</xdr:row>
      <xdr:rowOff>143436</xdr:rowOff>
    </xdr:from>
    <xdr:to>
      <xdr:col>4</xdr:col>
      <xdr:colOff>568811</xdr:colOff>
      <xdr:row>18</xdr:row>
      <xdr:rowOff>151056</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12A1376E-E9CE-8CA9-91A8-038BFB1BFD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72236" y="2294965"/>
              <a:ext cx="1832834" cy="1083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Yadav" refreshedDate="46124.875613425924" createdVersion="8" refreshedVersion="8" minRefreshableVersion="3" recordCount="15" xr:uid="{4766105B-989D-4AFA-BED2-156AC125FA68}">
  <cacheSource type="worksheet">
    <worksheetSource name="Table1"/>
  </cacheSource>
  <cacheFields count="9">
    <cacheField name="Date" numFmtId="0">
      <sharedItems count="15">
        <s v="01-01-2025"/>
        <s v="02-01-2025"/>
        <s v="03-01-2025"/>
        <s v="04-01-2025"/>
        <s v="05-01-2025"/>
        <s v="01-02-2025"/>
        <s v="02-02-2025"/>
        <s v="03-02-2025"/>
        <s v="04-02-2025"/>
        <s v="05-02-2025"/>
        <s v="01-03-2025"/>
        <s v="02-03-2025"/>
        <s v="03-03-2025"/>
        <s v="04-03-2025"/>
        <s v="05-03-2025"/>
      </sharedItems>
    </cacheField>
    <cacheField name="Department" numFmtId="0">
      <sharedItems count="5">
        <s v="Marketing"/>
        <s v="Sales"/>
        <s v="HR"/>
        <s v="IT"/>
        <s v="Finance"/>
      </sharedItems>
    </cacheField>
    <cacheField name="Account Type" numFmtId="0">
      <sharedItems count="2">
        <s v="Expense"/>
        <s v="Revenue"/>
      </sharedItems>
    </cacheField>
    <cacheField name="Description" numFmtId="0">
      <sharedItems count="5">
        <s v="Ads Campaign"/>
        <s v="Product Sales"/>
        <s v="Salaries"/>
        <s v="Software Licenses"/>
        <s v="Audit Fees"/>
      </sharedItems>
    </cacheField>
    <cacheField name="Budget" numFmtId="0">
      <sharedItems containsSemiMixedTypes="0" containsString="0" containsNumber="1" containsInteger="1" minValue="20000" maxValue="170000"/>
    </cacheField>
    <cacheField name="Actual" numFmtId="0">
      <sharedItems containsSemiMixedTypes="0" containsString="0" containsNumber="1" containsInteger="1" minValue="18000" maxValue="190000"/>
    </cacheField>
    <cacheField name="Varience" numFmtId="0">
      <sharedItems containsSemiMixedTypes="0" containsString="0" containsNumber="1" containsInteger="1" minValue="-20000" maxValue="5000"/>
    </cacheField>
    <cacheField name="varience %" numFmtId="9">
      <sharedItems containsSemiMixedTypes="0" containsString="0" containsNumber="1" minValue="-0.2" maxValue="0.1"/>
    </cacheField>
    <cacheField name="Month" numFmtId="0">
      <sharedItems count="3">
        <s v="Jan"/>
        <s v="Feb"/>
        <s v="Mar"/>
      </sharedItems>
    </cacheField>
  </cacheFields>
  <extLst>
    <ext xmlns:x14="http://schemas.microsoft.com/office/spreadsheetml/2009/9/main" uri="{725AE2AE-9491-48be-B2B4-4EB974FC3084}">
      <x14:pivotCacheDefinition pivotCacheId="6238958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Yadav" refreshedDate="46169.928573611112" createdVersion="8" refreshedVersion="8" minRefreshableVersion="3" recordCount="15" xr:uid="{486BE78E-5CDC-460D-BDBC-E3444470C806}">
  <cacheSource type="worksheet">
    <worksheetSource name="Table1"/>
  </cacheSource>
  <cacheFields count="9">
    <cacheField name="Date" numFmtId="0">
      <sharedItems/>
    </cacheField>
    <cacheField name="Department" numFmtId="0">
      <sharedItems count="5">
        <s v="Marketing"/>
        <s v="Sales"/>
        <s v="HR"/>
        <s v="IT"/>
        <s v="Finance"/>
      </sharedItems>
    </cacheField>
    <cacheField name="Account Type" numFmtId="0">
      <sharedItems/>
    </cacheField>
    <cacheField name="Description" numFmtId="0">
      <sharedItems/>
    </cacheField>
    <cacheField name="Budget" numFmtId="0">
      <sharedItems containsSemiMixedTypes="0" containsString="0" containsNumber="1" containsInteger="1" minValue="20000" maxValue="170000"/>
    </cacheField>
    <cacheField name="Actual" numFmtId="0">
      <sharedItems containsSemiMixedTypes="0" containsString="0" containsNumber="1" containsInteger="1" minValue="18000" maxValue="190000"/>
    </cacheField>
    <cacheField name="Varience" numFmtId="0">
      <sharedItems containsSemiMixedTypes="0" containsString="0" containsNumber="1" containsInteger="1" minValue="-20000" maxValue="5000" count="10">
        <n v="-10000"/>
        <n v="-20000"/>
        <n v="5000"/>
        <n v="-5000"/>
        <n v="2000"/>
        <n v="3000"/>
        <n v="-1000"/>
        <n v="-3000"/>
        <n v="-2000"/>
        <n v="1000"/>
      </sharedItems>
    </cacheField>
    <cacheField name="varience %" numFmtId="9">
      <sharedItems containsSemiMixedTypes="0" containsString="0" containsNumber="1" minValue="-0.2" maxValue="0.1"/>
    </cacheField>
    <cacheField name="Month" numFmtId="0">
      <sharedItems count="3">
        <s v="Jan"/>
        <s v="Feb"/>
        <s v="Mar"/>
      </sharedItems>
    </cacheField>
  </cacheFields>
  <extLst>
    <ext xmlns:x14="http://schemas.microsoft.com/office/spreadsheetml/2009/9/main" uri="{725AE2AE-9491-48be-B2B4-4EB974FC3084}">
      <x14:pivotCacheDefinition pivotCacheId="199302438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983386111111" backgroundQuery="1" createdVersion="8" refreshedVersion="8" minRefreshableVersion="3" recordCount="0" supportSubquery="1" supportAdvancedDrill="1" xr:uid="{C2E5E94D-C434-42EA-A023-8264C17AF7DA}">
  <cacheSource type="external" connectionId="1"/>
  <cacheFields count="2">
    <cacheField name="[Measures].[Sum of Budget]" caption="Sum of Budget" numFmtId="0" hierarchy="11" level="32767"/>
    <cacheField name="[Table1].[Budget].[Budget]" caption="Budget" numFmtId="0" hierarchy="4" level="1">
      <sharedItems containsSemiMixedTypes="0" containsNonDate="0" containsString="0"/>
    </cacheField>
  </cacheFields>
  <cacheHierarchies count="12">
    <cacheHierarchy uniqueName="[Table1].[Date]" caption="Date" attribute="1" defaultMemberUniqueName="[Table1].[Date].[All]" allUniqueName="[Table1].[Dat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ccount Type]" caption="Account Type" attribute="1" defaultMemberUniqueName="[Table1].[Account Type].[All]" allUniqueName="[Table1].[Account Type].[All]" dimensionUniqueName="[Table1]" displayFolder="" count="2" memberValueDatatype="130" unbalanced="0"/>
    <cacheHierarchy uniqueName="[Table1].[Description]" caption="Description" attribute="1" defaultMemberUniqueName="[Table1].[Description].[All]" allUniqueName="[Table1].[Description].[All]" dimensionUniqueName="[Table1]" displayFolder="" count="2" memberValueDatatype="130" unbalanced="0"/>
    <cacheHierarchy uniqueName="[Table1].[Budget]" caption="Budget" attribute="1" defaultMemberUniqueName="[Table1].[Budget].[All]" allUniqueName="[Table1].[Budget].[All]" dimensionUniqueName="[Table1]" displayFolder="" count="2" memberValueDatatype="20" unbalanced="0">
      <fieldsUsage count="2">
        <fieldUsage x="-1"/>
        <fieldUsage x="1"/>
      </fieldsUsage>
    </cacheHierarchy>
    <cacheHierarchy uniqueName="[Table1].[Actual]" caption="Actual" attribute="1" defaultMemberUniqueName="[Table1].[Actual].[All]" allUniqueName="[Table1].[Actual].[All]" dimensionUniqueName="[Table1]" displayFolder="" count="2" memberValueDatatype="20" unbalanced="0"/>
    <cacheHierarchy uniqueName="[Table1].[Varience]" caption="Varience" attribute="1" defaultMemberUniqueName="[Table1].[Varience].[All]" allUniqueName="[Table1].[Varience].[All]" dimensionUniqueName="[Table1]" displayFolder="" count="2" memberValueDatatype="20" unbalanced="0"/>
    <cacheHierarchy uniqueName="[Table1].[varience %]" caption="varience %" attribute="1" defaultMemberUniqueName="[Table1].[varience %].[All]" allUniqueName="[Table1].[varience %].[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Budget]" caption="Sum of Budge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958376736111" backgroundQuery="1" createdVersion="3" refreshedVersion="8" minRefreshableVersion="3" recordCount="0" supportSubquery="1" supportAdvancedDrill="1" xr:uid="{F2689E2C-A5ED-4410-8D66-D34953C4E235}">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Table1].[Date]" caption="Date" attribute="1" defaultMemberUniqueName="[Table1].[Date].[All]" allUniqueName="[Table1].[Dat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ccount Type]" caption="Account Type" attribute="1" defaultMemberUniqueName="[Table1].[Account Type].[All]" allUniqueName="[Table1].[Account Type].[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Budget]" caption="Budget" attribute="1" defaultMemberUniqueName="[Table1].[Budget].[All]" allUniqueName="[Table1].[Budget].[All]" dimensionUniqueName="[Table1]" displayFolder="" count="2" memberValueDatatype="20" unbalanced="0"/>
    <cacheHierarchy uniqueName="[Table1].[Actual]" caption="Actual" attribute="1" defaultMemberUniqueName="[Table1].[Actual].[All]" allUniqueName="[Table1].[Actual].[All]" dimensionUniqueName="[Table1]" displayFolder="" count="0" memberValueDatatype="20" unbalanced="0"/>
    <cacheHierarchy uniqueName="[Table1].[Varience]" caption="Varience" attribute="1" defaultMemberUniqueName="[Table1].[Varience].[All]" allUniqueName="[Table1].[Varience].[All]" dimensionUniqueName="[Table1]" displayFolder="" count="0" memberValueDatatype="20" unbalanced="0"/>
    <cacheHierarchy uniqueName="[Table1].[varience %]" caption="varience %" attribute="1" defaultMemberUniqueName="[Table1].[varience %].[All]" allUniqueName="[Table1].[varience %].[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873517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n v="50000"/>
    <n v="60000"/>
    <n v="-10000"/>
    <n v="-0.2"/>
    <x v="0"/>
  </r>
  <r>
    <x v="1"/>
    <x v="1"/>
    <x v="1"/>
    <x v="1"/>
    <n v="150000"/>
    <n v="170000"/>
    <n v="-20000"/>
    <n v="-0.13333333333333333"/>
    <x v="0"/>
  </r>
  <r>
    <x v="2"/>
    <x v="2"/>
    <x v="0"/>
    <x v="2"/>
    <n v="80000"/>
    <n v="75000"/>
    <n v="5000"/>
    <n v="6.25E-2"/>
    <x v="0"/>
  </r>
  <r>
    <x v="3"/>
    <x v="3"/>
    <x v="0"/>
    <x v="3"/>
    <n v="40000"/>
    <n v="45000"/>
    <n v="-5000"/>
    <n v="-0.125"/>
    <x v="0"/>
  </r>
  <r>
    <x v="4"/>
    <x v="4"/>
    <x v="0"/>
    <x v="4"/>
    <n v="20000"/>
    <n v="18000"/>
    <n v="2000"/>
    <n v="0.1"/>
    <x v="0"/>
  </r>
  <r>
    <x v="5"/>
    <x v="0"/>
    <x v="0"/>
    <x v="0"/>
    <n v="55000"/>
    <n v="52000"/>
    <n v="3000"/>
    <n v="5.4545454545454543E-2"/>
    <x v="1"/>
  </r>
  <r>
    <x v="6"/>
    <x v="1"/>
    <x v="1"/>
    <x v="1"/>
    <n v="160000"/>
    <n v="180000"/>
    <n v="-20000"/>
    <n v="-0.125"/>
    <x v="1"/>
  </r>
  <r>
    <x v="7"/>
    <x v="2"/>
    <x v="0"/>
    <x v="2"/>
    <n v="82000"/>
    <n v="83000"/>
    <n v="-1000"/>
    <n v="-1.2195121951219513E-2"/>
    <x v="1"/>
  </r>
  <r>
    <x v="8"/>
    <x v="3"/>
    <x v="0"/>
    <x v="3"/>
    <n v="42000"/>
    <n v="40000"/>
    <n v="2000"/>
    <n v="4.7619047619047616E-2"/>
    <x v="1"/>
  </r>
  <r>
    <x v="9"/>
    <x v="4"/>
    <x v="0"/>
    <x v="4"/>
    <n v="22000"/>
    <n v="25000"/>
    <n v="-3000"/>
    <n v="-0.13636363636363635"/>
    <x v="1"/>
  </r>
  <r>
    <x v="10"/>
    <x v="0"/>
    <x v="0"/>
    <x v="0"/>
    <n v="60000"/>
    <n v="58000"/>
    <n v="2000"/>
    <n v="3.3333333333333333E-2"/>
    <x v="2"/>
  </r>
  <r>
    <x v="11"/>
    <x v="1"/>
    <x v="1"/>
    <x v="1"/>
    <n v="170000"/>
    <n v="190000"/>
    <n v="-20000"/>
    <n v="-0.11764705882352941"/>
    <x v="2"/>
  </r>
  <r>
    <x v="12"/>
    <x v="2"/>
    <x v="0"/>
    <x v="2"/>
    <n v="85000"/>
    <n v="87000"/>
    <n v="-2000"/>
    <n v="-2.3529411764705882E-2"/>
    <x v="2"/>
  </r>
  <r>
    <x v="13"/>
    <x v="3"/>
    <x v="0"/>
    <x v="3"/>
    <n v="45000"/>
    <n v="47000"/>
    <n v="-2000"/>
    <n v="-4.4444444444444446E-2"/>
    <x v="2"/>
  </r>
  <r>
    <x v="14"/>
    <x v="4"/>
    <x v="0"/>
    <x v="4"/>
    <n v="25000"/>
    <n v="24000"/>
    <n v="1000"/>
    <n v="0.0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01-01-2025"/>
    <x v="0"/>
    <s v="Expense"/>
    <s v="Ads Campaign"/>
    <n v="50000"/>
    <n v="60000"/>
    <x v="0"/>
    <n v="-0.2"/>
    <x v="0"/>
  </r>
  <r>
    <s v="02-01-2025"/>
    <x v="1"/>
    <s v="Revenue"/>
    <s v="Product Sales"/>
    <n v="150000"/>
    <n v="170000"/>
    <x v="1"/>
    <n v="-0.13333333333333333"/>
    <x v="0"/>
  </r>
  <r>
    <s v="03-01-2025"/>
    <x v="2"/>
    <s v="Expense"/>
    <s v="Salaries"/>
    <n v="80000"/>
    <n v="75000"/>
    <x v="2"/>
    <n v="6.25E-2"/>
    <x v="0"/>
  </r>
  <r>
    <s v="04-01-2025"/>
    <x v="3"/>
    <s v="Expense"/>
    <s v="Software Licenses"/>
    <n v="40000"/>
    <n v="45000"/>
    <x v="3"/>
    <n v="-0.125"/>
    <x v="0"/>
  </r>
  <r>
    <s v="05-01-2025"/>
    <x v="4"/>
    <s v="Expense"/>
    <s v="Audit Fees"/>
    <n v="20000"/>
    <n v="18000"/>
    <x v="4"/>
    <n v="0.1"/>
    <x v="0"/>
  </r>
  <r>
    <s v="01-02-2025"/>
    <x v="0"/>
    <s v="Expense"/>
    <s v="Ads Campaign"/>
    <n v="55000"/>
    <n v="52000"/>
    <x v="5"/>
    <n v="5.4545454545454543E-2"/>
    <x v="1"/>
  </r>
  <r>
    <s v="02-02-2025"/>
    <x v="1"/>
    <s v="Revenue"/>
    <s v="Product Sales"/>
    <n v="160000"/>
    <n v="180000"/>
    <x v="1"/>
    <n v="-0.125"/>
    <x v="1"/>
  </r>
  <r>
    <s v="03-02-2025"/>
    <x v="2"/>
    <s v="Expense"/>
    <s v="Salaries"/>
    <n v="82000"/>
    <n v="83000"/>
    <x v="6"/>
    <n v="-1.2195121951219513E-2"/>
    <x v="1"/>
  </r>
  <r>
    <s v="04-02-2025"/>
    <x v="3"/>
    <s v="Expense"/>
    <s v="Software Licenses"/>
    <n v="42000"/>
    <n v="40000"/>
    <x v="4"/>
    <n v="4.7619047619047616E-2"/>
    <x v="1"/>
  </r>
  <r>
    <s v="05-02-2025"/>
    <x v="4"/>
    <s v="Expense"/>
    <s v="Audit Fees"/>
    <n v="22000"/>
    <n v="25000"/>
    <x v="7"/>
    <n v="-0.13636363636363635"/>
    <x v="1"/>
  </r>
  <r>
    <s v="01-03-2025"/>
    <x v="0"/>
    <s v="Expense"/>
    <s v="Ads Campaign"/>
    <n v="60000"/>
    <n v="58000"/>
    <x v="4"/>
    <n v="3.3333333333333333E-2"/>
    <x v="2"/>
  </r>
  <r>
    <s v="02-03-2025"/>
    <x v="1"/>
    <s v="Revenue"/>
    <s v="Product Sales"/>
    <n v="170000"/>
    <n v="190000"/>
    <x v="1"/>
    <n v="-0.11764705882352941"/>
    <x v="2"/>
  </r>
  <r>
    <s v="03-03-2025"/>
    <x v="2"/>
    <s v="Expense"/>
    <s v="Salaries"/>
    <n v="85000"/>
    <n v="87000"/>
    <x v="8"/>
    <n v="-2.3529411764705882E-2"/>
    <x v="2"/>
  </r>
  <r>
    <s v="04-03-2025"/>
    <x v="3"/>
    <s v="Expense"/>
    <s v="Software Licenses"/>
    <n v="45000"/>
    <n v="47000"/>
    <x v="8"/>
    <n v="-4.4444444444444446E-2"/>
    <x v="2"/>
  </r>
  <r>
    <s v="05-03-2025"/>
    <x v="4"/>
    <s v="Expense"/>
    <s v="Audit Fees"/>
    <n v="25000"/>
    <n v="24000"/>
    <x v="9"/>
    <n v="0.0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146E10-2F88-4E4F-84C2-FACE1FBF9E0C}"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udget" fld="0" baseField="0" baseItem="0"/>
  </dataFields>
  <pivotHierarchies count="12">
    <pivotHierarchy dragToData="1"/>
    <pivotHierarchy dragToData="1"/>
    <pivotHierarchy dragToData="1"/>
    <pivotHierarchy dragToData="1"/>
    <pivotHierarchy multipleItemSelectionAllowed="1" dragToData="1">
      <members count="2" level="1">
        <member name="[Table1].[Budget].&amp;[20000]"/>
        <member name="[Table1].[Budget].&amp;[40000]"/>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A65F11-2373-4134-8340-6E04791AE7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axis="axisRow" showAll="0">
      <items count="6">
        <item x="4"/>
        <item x="2"/>
        <item x="3"/>
        <item x="0"/>
        <item x="1"/>
        <item t="default"/>
      </items>
    </pivotField>
    <pivotField showAll="0"/>
    <pivotField showAll="0"/>
    <pivotField dataField="1" showAll="0"/>
    <pivotField showAll="0"/>
    <pivotField showAll="0">
      <items count="11">
        <item x="1"/>
        <item x="0"/>
        <item x="3"/>
        <item x="7"/>
        <item x="8"/>
        <item x="6"/>
        <item x="9"/>
        <item x="4"/>
        <item x="5"/>
        <item x="2"/>
        <item t="default"/>
      </items>
    </pivotField>
    <pivotField numFmtId="9" showAll="0"/>
    <pivotField showAll="0">
      <items count="4">
        <item x="0"/>
        <item x="1"/>
        <item x="2"/>
        <item t="default"/>
      </items>
    </pivotField>
  </pivotFields>
  <rowFields count="1">
    <field x="1"/>
  </rowFields>
  <rowItems count="6">
    <i>
      <x/>
    </i>
    <i>
      <x v="1"/>
    </i>
    <i>
      <x v="2"/>
    </i>
    <i>
      <x v="3"/>
    </i>
    <i>
      <x v="4"/>
    </i>
    <i t="grand">
      <x/>
    </i>
  </rowItems>
  <colItems count="1">
    <i/>
  </colItems>
  <dataFields count="1">
    <dataField name="Sum of Budg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0EB9F-94EB-4F61-A7CB-E5E4E04747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9">
    <pivotField showAll="0"/>
    <pivotField showAll="0">
      <items count="6">
        <item x="4"/>
        <item x="2"/>
        <item x="3"/>
        <item x="0"/>
        <item x="1"/>
        <item t="default"/>
      </items>
    </pivotField>
    <pivotField showAll="0"/>
    <pivotField showAll="0"/>
    <pivotField dataField="1" showAll="0"/>
    <pivotField dataField="1" showAll="0"/>
    <pivotField showAll="0">
      <items count="11">
        <item x="1"/>
        <item x="0"/>
        <item x="3"/>
        <item x="7"/>
        <item x="8"/>
        <item x="6"/>
        <item x="9"/>
        <item x="4"/>
        <item x="5"/>
        <item x="2"/>
        <item t="default"/>
      </items>
    </pivotField>
    <pivotField numFmtId="9" showAll="0"/>
    <pivotField axis="axisRow" showAll="0" sortType="ascending">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Sum of Budget" fld="4" baseField="0" baseItem="0"/>
    <dataField name="Sum of Actual" fld="5" baseField="0" baseItem="0"/>
  </dataFields>
  <chartFormats count="4">
    <chartFormat chart="9" format="11"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1"/>
          </reference>
        </references>
      </pivotArea>
    </chartFormat>
    <chartFormat chart="9" format="13">
      <pivotArea type="data" outline="0" fieldPosition="0">
        <references count="2">
          <reference field="4294967294" count="1" selected="0">
            <x v="1"/>
          </reference>
          <reference field="8" count="1" selected="0">
            <x v="1"/>
          </reference>
        </references>
      </pivotArea>
    </chartFormat>
    <chartFormat chart="9" format="14">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C4AF0-3217-4765-9C92-84818F3259F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showAll="0"/>
    <pivotField showAll="0"/>
    <pivotField dataField="1" showAll="0"/>
    <pivotField showAll="0"/>
    <pivotField numFmtId="9" showAll="0"/>
    <pivotField showAll="0"/>
  </pivotFields>
  <rowItems count="1">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9F27A-04B4-4C3C-BF18-0198BEE4174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9">
    <pivotField showAll="0"/>
    <pivotField axis="axisRow" showAll="0" sortType="ascending">
      <items count="6">
        <item x="4"/>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items count="11">
        <item x="1"/>
        <item x="0"/>
        <item x="3"/>
        <item x="7"/>
        <item x="8"/>
        <item x="6"/>
        <item x="9"/>
        <item x="4"/>
        <item x="5"/>
        <item x="2"/>
        <item t="default"/>
      </items>
    </pivotField>
    <pivotField numFmtId="9" showAll="0"/>
    <pivotField showAll="0">
      <items count="4">
        <item x="0"/>
        <item x="1"/>
        <item x="2"/>
        <item t="default"/>
      </items>
    </pivotField>
  </pivotFields>
  <rowFields count="1">
    <field x="1"/>
  </rowFields>
  <rowItems count="6">
    <i>
      <x/>
    </i>
    <i>
      <x v="2"/>
    </i>
    <i>
      <x v="3"/>
    </i>
    <i>
      <x v="1"/>
    </i>
    <i>
      <x v="4"/>
    </i>
    <i t="grand">
      <x/>
    </i>
  </rowItems>
  <colFields count="1">
    <field x="-2"/>
  </colFields>
  <colItems count="2">
    <i>
      <x/>
    </i>
    <i i="1">
      <x v="1"/>
    </i>
  </colItems>
  <dataFields count="2">
    <dataField name="Sum of Budget" fld="4" baseField="0" baseItem="0"/>
    <dataField name="Sum of Actual" fld="5"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1"/>
          </reference>
          <reference field="1" count="1" selected="0">
            <x v="4"/>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 chart="0" format="6">
      <pivotArea type="data" outline="0" fieldPosition="0">
        <references count="2">
          <reference field="4294967294" count="1" selected="0">
            <x v="1"/>
          </reference>
          <reference field="1" count="1" selected="0">
            <x v="2"/>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1"/>
          </reference>
          <reference field="1" count="1" selected="0">
            <x v="3"/>
          </reference>
        </references>
      </pivotArea>
    </chartFormat>
    <chartFormat chart="10" format="33" series="1">
      <pivotArea type="data" outline="0" fieldPosition="0">
        <references count="1">
          <reference field="4294967294" count="1" selected="0">
            <x v="0"/>
          </reference>
        </references>
      </pivotArea>
    </chartFormat>
    <chartFormat chart="10" format="34">
      <pivotArea type="data" outline="0" fieldPosition="0">
        <references count="2">
          <reference field="4294967294" count="1" selected="0">
            <x v="0"/>
          </reference>
          <reference field="1" count="1" selected="0">
            <x v="2"/>
          </reference>
        </references>
      </pivotArea>
    </chartFormat>
    <chartFormat chart="10" format="35">
      <pivotArea type="data" outline="0" fieldPosition="0">
        <references count="2">
          <reference field="4294967294" count="1" selected="0">
            <x v="0"/>
          </reference>
          <reference field="1" count="1" selected="0">
            <x v="3"/>
          </reference>
        </references>
      </pivotArea>
    </chartFormat>
    <chartFormat chart="10" format="36">
      <pivotArea type="data" outline="0" fieldPosition="0">
        <references count="2">
          <reference field="4294967294" count="1" selected="0">
            <x v="0"/>
          </reference>
          <reference field="1" count="1" selected="0">
            <x v="1"/>
          </reference>
        </references>
      </pivotArea>
    </chartFormat>
    <chartFormat chart="10" format="37" series="1">
      <pivotArea type="data" outline="0" fieldPosition="0">
        <references count="1">
          <reference field="4294967294" count="1" selected="0">
            <x v="1"/>
          </reference>
        </references>
      </pivotArea>
    </chartFormat>
    <chartFormat chart="10" format="38">
      <pivotArea type="data" outline="0" fieldPosition="0">
        <references count="2">
          <reference field="4294967294" count="1" selected="0">
            <x v="1"/>
          </reference>
          <reference field="1" count="1" selected="0">
            <x v="2"/>
          </reference>
        </references>
      </pivotArea>
    </chartFormat>
    <chartFormat chart="10" format="39">
      <pivotArea type="data" outline="0" fieldPosition="0">
        <references count="2">
          <reference field="4294967294" count="1" selected="0">
            <x v="1"/>
          </reference>
          <reference field="1" count="1" selected="0">
            <x v="3"/>
          </reference>
        </references>
      </pivotArea>
    </chartFormat>
    <chartFormat chart="10" format="40">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3887B7-6032-4130-BCAF-8A626F60CD8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9">
    <pivotField showAll="0"/>
    <pivotField axis="axisRow" showAll="0">
      <items count="6">
        <item x="4"/>
        <item x="2"/>
        <item x="3"/>
        <item x="0"/>
        <item x="1"/>
        <item t="default"/>
      </items>
    </pivotField>
    <pivotField showAll="0"/>
    <pivotField showAll="0"/>
    <pivotField showAll="0"/>
    <pivotField showAll="0"/>
    <pivotField dataField="1" showAll="0">
      <items count="11">
        <item x="1"/>
        <item x="0"/>
        <item x="3"/>
        <item x="7"/>
        <item x="8"/>
        <item x="6"/>
        <item x="9"/>
        <item x="4"/>
        <item x="5"/>
        <item x="2"/>
        <item t="default"/>
      </items>
    </pivotField>
    <pivotField numFmtId="9" showAll="0"/>
    <pivotField showAll="0">
      <items count="4">
        <item x="0"/>
        <item x="1"/>
        <item x="2"/>
        <item t="default"/>
      </items>
    </pivotField>
  </pivotFields>
  <rowFields count="1">
    <field x="1"/>
  </rowFields>
  <rowItems count="6">
    <i>
      <x/>
    </i>
    <i>
      <x v="1"/>
    </i>
    <i>
      <x v="2"/>
    </i>
    <i>
      <x v="3"/>
    </i>
    <i>
      <x v="4"/>
    </i>
    <i t="grand">
      <x/>
    </i>
  </rowItems>
  <colItems count="1">
    <i/>
  </colItems>
  <dataFields count="1">
    <dataField name="Sum of Varience" fld="6" baseField="0" baseItem="0"/>
  </dataFields>
  <formats count="2">
    <format dxfId="6">
      <pivotArea collapsedLevelsAreSubtotals="1" fieldPosition="0">
        <references count="1">
          <reference field="1" count="3">
            <x v="2"/>
            <x v="3"/>
            <x v="4"/>
          </reference>
        </references>
      </pivotArea>
    </format>
    <format dxfId="5">
      <pivotArea grandRow="1" outline="0" collapsedLevelsAreSubtotals="1" fieldPosition="0"/>
    </format>
  </formats>
  <conditionalFormats count="1">
    <conditionalFormat priority="1">
      <pivotAreas count="2">
        <pivotArea type="data" collapsedLevelsAreSubtotals="1" fieldPosition="0">
          <references count="2">
            <reference field="4294967294" count="1" selected="0">
              <x v="0"/>
            </reference>
            <reference field="1" count="3">
              <x v="2"/>
              <x v="3"/>
              <x v="4"/>
            </reference>
          </references>
        </pivotArea>
        <pivotArea type="data" grandRow="1" outline="0" collapsedLevelsAreSubtotals="1" fieldPosition="0">
          <references count="1">
            <reference field="4294967294" count="1" selected="0">
              <x v="0"/>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4B6AD9-09B2-4E79-9F0A-7A54B1ED7358}" name="PivotTable1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8">
  <location ref="A3:C6" firstHeaderRow="0" firstDataRow="1" firstDataCol="1"/>
  <pivotFields count="9">
    <pivotField showAll="0">
      <items count="16">
        <item x="0"/>
        <item x="5"/>
        <item x="10"/>
        <item x="1"/>
        <item x="6"/>
        <item x="11"/>
        <item x="2"/>
        <item x="7"/>
        <item x="12"/>
        <item x="3"/>
        <item x="8"/>
        <item x="13"/>
        <item x="4"/>
        <item x="9"/>
        <item x="14"/>
        <item t="default"/>
      </items>
    </pivotField>
    <pivotField showAll="0">
      <items count="6">
        <item x="4"/>
        <item x="2"/>
        <item x="3"/>
        <item x="0"/>
        <item x="1"/>
        <item t="default"/>
      </items>
    </pivotField>
    <pivotField axis="axisRow" showAll="0">
      <items count="3">
        <item sd="0" x="0"/>
        <item sd="0" x="1"/>
        <item t="default" sd="0"/>
      </items>
    </pivotField>
    <pivotField showAll="0">
      <items count="6">
        <item x="0"/>
        <item x="4"/>
        <item x="1"/>
        <item x="2"/>
        <item x="3"/>
        <item t="default"/>
      </items>
    </pivotField>
    <pivotField dataField="1" showAll="0"/>
    <pivotField dataField="1" showAll="0"/>
    <pivotField showAll="0"/>
    <pivotField numFmtId="9" showAll="0"/>
    <pivotField showAll="0">
      <items count="4">
        <item h="1" x="0"/>
        <item h="1" x="1"/>
        <item x="2"/>
        <item t="default"/>
      </items>
    </pivotField>
  </pivotFields>
  <rowFields count="1">
    <field x="2"/>
  </rowFields>
  <rowItems count="3">
    <i>
      <x/>
    </i>
    <i>
      <x v="1"/>
    </i>
    <i t="grand">
      <x/>
    </i>
  </rowItems>
  <colFields count="1">
    <field x="-2"/>
  </colFields>
  <colItems count="2">
    <i>
      <x/>
    </i>
    <i i="1">
      <x v="1"/>
    </i>
  </colItems>
  <dataFields count="2">
    <dataField name="Sum of Budget" fld="4" baseField="0" baseItem="0"/>
    <dataField name="Sum of Actual" fld="5" baseField="2" baseItem="0"/>
  </dataFields>
  <chartFormats count="2">
    <chartFormat chart="0" format="43" series="1">
      <pivotArea type="data" outline="0" fieldPosition="0">
        <references count="1">
          <reference field="4294967294" count="1" selected="0">
            <x v="0"/>
          </reference>
        </references>
      </pivotArea>
    </chartFormat>
    <chartFormat chart="0" format="4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AEBAD9-B4FB-462F-8E55-2C1E5AE7DC02}" sourceName="Department">
  <pivotTables>
    <pivotTable tabId="13" name="PivotTable5"/>
    <pivotTable tabId="15" name="PivotTable8"/>
    <pivotTable tabId="22" name="PivotTable2"/>
    <pivotTable tabId="23" name="PivotTable1"/>
  </pivotTables>
  <data>
    <tabular pivotCacheId="1993024388">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3264E8-D8CF-4BB9-87DE-B3F9EC8C8347}" sourceName="Month">
  <pivotTables>
    <pivotTable tabId="17" name="PivotTable11"/>
  </pivotTables>
  <data>
    <tabular pivotCacheId="623895875">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D87B65E-5921-4DF0-9C29-525A60D1BE26}" sourceName="[Table1].[Month]">
  <pivotTables>
    <pivotTable tabId="21" name="PivotTable1"/>
  </pivotTables>
  <data>
    <olap pivotCacheId="1487351789">
      <levels count="2">
        <level uniqueName="[Table1].[Month].[(All)]" sourceCaption="(All)" count="0"/>
        <level uniqueName="[Table1].[Month].[Month]" sourceCaption="Month" count="3">
          <ranges>
            <range startItem="0">
              <i n="[Table1].[Month].&amp;[Feb]" c="Feb"/>
              <i n="[Table1].[Month].&amp;[Jan]" c="Jan"/>
              <i n="[Table1].[Month].&amp;[Mar]" c="Mar"/>
            </range>
          </ranges>
        </level>
      </levels>
      <selections count="1">
        <selection n="[Table1].[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754E19BC-3F60-4947-BB83-3C55F4C996D9}" sourceName="Month">
  <pivotTables>
    <pivotTable tabId="23" name="PivotTable1"/>
    <pivotTable tabId="13" name="PivotTable5"/>
    <pivotTable tabId="22" name="PivotTable2"/>
    <pivotTable tabId="15" name="PivotTable8"/>
  </pivotTables>
  <data>
    <tabular pivotCacheId="199302438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nce" xr10:uid="{B6AD9FB9-1B64-4F4C-A0B9-159FA34AAC2A}" sourceName="Varience">
  <pivotTables>
    <pivotTable tabId="15" name="PivotTable8"/>
    <pivotTable tabId="13" name="PivotTable5"/>
    <pivotTable tabId="22" name="PivotTable2"/>
    <pivotTable tabId="23" name="PivotTable1"/>
  </pivotTables>
  <data>
    <tabular pivotCacheId="1993024388">
      <items count="10">
        <i x="1" s="1"/>
        <i x="0" s="1"/>
        <i x="3" s="1"/>
        <i x="7" s="1"/>
        <i x="8" s="1"/>
        <i x="6" s="1"/>
        <i x="9"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690C614-0BD9-44EC-848F-C5F164FABBA3}" cache="Slicer_Department" caption="Department" style="SlicerStyleLight4" rowHeight="216000"/>
  <slicer name="Month 3" xr10:uid="{0C712C0A-5C55-48ED-8E76-37A441439672}" cache="Slicer_Month2" caption="Month" style="SlicerStyleLight4"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FF322604-AE63-4B9A-AACD-EB93DE3C0847}" cache="Slicer_Month1" caption="Month" level="1"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45D105-A95A-4267-B811-1228611FD718}" cache="Slicer_Department" caption="Department"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A64D10A-8E98-46F1-BA2E-F432091BEE82}" cache="Slicer_Department" caption="Department" rowHeight="222250"/>
  <slicer name="Varience" xr10:uid="{19ABBCFE-2F68-446A-A1AE-643100C0734D}" cache="Slicer_Varience" caption="Varience" rowHeight="222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91701AE-8EC9-43CA-8D59-F54FC79BC545}" cache="Slicer_Month" caption="Month"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57042E-9B84-4D1A-941A-242E70A7DF14}" name="Table1" displayName="Table1" ref="A1:I17" totalsRowCount="1" dataDxfId="26">
  <autoFilter ref="A1:I16" xr:uid="{9C57042E-9B84-4D1A-941A-242E70A7DF14}"/>
  <tableColumns count="9">
    <tableColumn id="1" xr3:uid="{4E55AAD8-425D-4C2B-82A5-1B9CBC27D3D9}" name="Date" totalsRowLabel="Total" dataDxfId="25" totalsRowDxfId="24"/>
    <tableColumn id="2" xr3:uid="{4A65D114-EF9B-42B8-885C-2270FD31E280}" name="Department" dataDxfId="23" totalsRowDxfId="22"/>
    <tableColumn id="3" xr3:uid="{B0275F21-2FB3-4803-AB0C-39E427A5F96E}" name="Account Type" dataDxfId="21" totalsRowDxfId="20"/>
    <tableColumn id="4" xr3:uid="{75DE1A65-2EDF-4DAB-826F-69770664AC29}" name="Description" dataDxfId="19" totalsRowDxfId="18"/>
    <tableColumn id="6" xr3:uid="{A76DFE16-A0DF-43E1-BE66-2F0D0B2DDD35}" name="Actual" totalsRowFunction="custom" dataDxfId="17" totalsRowDxfId="16">
      <totalsRowFormula>SUM(E2:E16)</totalsRowFormula>
    </tableColumn>
    <tableColumn id="5" xr3:uid="{DC1AFE4D-81CE-4CDB-8535-55D7569550FC}" name="Budget" totalsRowFunction="custom" dataDxfId="15" totalsRowDxfId="14" dataCellStyle="Currency">
      <totalsRowFormula>SUM(F2:F16)</totalsRowFormula>
    </tableColumn>
    <tableColumn id="9" xr3:uid="{F6EDE4D4-9AD0-49B5-9D0D-F5B361C82D3E}" name="Varience" totalsRowFunction="custom" dataDxfId="13" totalsRowDxfId="12">
      <totalsRowFormula>SUM(G2:G16)</totalsRowFormula>
    </tableColumn>
    <tableColumn id="7" xr3:uid="{78B57708-08D3-4CFB-B1B1-4F5EE3A3BF83}" name="varience %" dataDxfId="11" totalsRowDxfId="10">
      <calculatedColumnFormula>(Table1[[#This Row],[Budget]]-Table1[[#This Row],[Actual]])/Table1[[#This Row],[Budget]]</calculatedColumnFormula>
    </tableColumn>
    <tableColumn id="8" xr3:uid="{7A529A74-1220-4AE7-A1EB-1A6F2B75F6A2}" name="Month" dataDxfId="9" totalsRowDxfId="8"/>
  </tableColumns>
  <tableStyleInfo name="TableStyleMedium5"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3.xml"/><Relationship Id="rId1" Type="http://schemas.microsoft.com/office/2011/relationships/webextension" Target="webextension2.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527"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70D0CE8-B1D0-1AAA-FBBE-7381C6F50D63}">
  <we:reference id="wa104381973" version="1.0.0.5" store="en-US" storeType="OMEX"/>
  <we:alternateReferences>
    <we:reference id="wa104381973" version="1.0.0.5" store="wa104381973"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0858D1DF-11AA-4637-B07E-EA16A9F31092}">
  <we:reference id="wa200005502" version="1.0.0.13" store="en-US" storeType="OMEX"/>
  <we:alternateReferences>
    <we:reference id="wa200005502" version="1.0.0.13" store="wa200005502" storeType="OMEX"/>
  </we:alternateReferences>
  <we:properties>
    <we:property name="docId" value="&quot;HuHg-9UY2WZ9LoXCgNJN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4FEF221E-313B-4C79-B9D7-A9C1D2D1EEEA}">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3A19-EFA0-4460-AED9-A31F8CEFBABA}">
  <dimension ref="A1:E18"/>
  <sheetViews>
    <sheetView showGridLines="0" tabSelected="1" topLeftCell="A4" zoomScaleNormal="100" workbookViewId="0">
      <selection activeCell="O36" sqref="O36"/>
    </sheetView>
  </sheetViews>
  <sheetFormatPr defaultRowHeight="13.8" x14ac:dyDescent="0.25"/>
  <cols>
    <col min="1" max="1" width="11.8984375" style="10" customWidth="1"/>
    <col min="2" max="2" width="11.69921875" style="10" bestFit="1" customWidth="1"/>
    <col min="3" max="3" width="3.59765625" style="10" customWidth="1"/>
    <col min="4" max="4" width="13.59765625" style="10" bestFit="1" customWidth="1"/>
    <col min="5" max="16384" width="8.796875" style="10"/>
  </cols>
  <sheetData>
    <row r="1" spans="1:5" x14ac:dyDescent="0.25">
      <c r="B1" s="11"/>
      <c r="C1" s="11"/>
    </row>
    <row r="2" spans="1:5" x14ac:dyDescent="0.25">
      <c r="E2" s="11"/>
    </row>
    <row r="5" spans="1:5" ht="13.8" customHeight="1" x14ac:dyDescent="0.25">
      <c r="A5" s="12"/>
      <c r="B5" s="12"/>
      <c r="C5" s="12"/>
      <c r="D5" s="11"/>
    </row>
    <row r="6" spans="1:5" ht="13.8" customHeight="1" x14ac:dyDescent="0.25">
      <c r="A6" s="12"/>
      <c r="B6" s="12"/>
      <c r="C6" s="12"/>
      <c r="D6" s="11"/>
    </row>
    <row r="7" spans="1:5" ht="13.8" customHeight="1" x14ac:dyDescent="0.25">
      <c r="A7" s="15">
        <f>GETPIVOTDATA("Budget",Sheet2!$A$3)</f>
        <v>1086000</v>
      </c>
      <c r="B7" s="15"/>
      <c r="C7" s="15"/>
      <c r="D7" s="12"/>
    </row>
    <row r="8" spans="1:5" ht="13.8" customHeight="1" x14ac:dyDescent="0.25">
      <c r="A8" s="15"/>
      <c r="B8" s="15"/>
      <c r="C8" s="15"/>
      <c r="D8" s="12"/>
    </row>
    <row r="9" spans="1:5" ht="13.8" customHeight="1" x14ac:dyDescent="0.25">
      <c r="A9" s="15"/>
      <c r="B9" s="15"/>
      <c r="C9" s="15"/>
      <c r="D9" s="12"/>
    </row>
    <row r="10" spans="1:5" ht="13.8" customHeight="1" x14ac:dyDescent="0.25">
      <c r="A10" s="15"/>
      <c r="B10" s="15"/>
      <c r="C10" s="15"/>
      <c r="D10" s="12"/>
    </row>
    <row r="11" spans="1:5" ht="13.8" customHeight="1" x14ac:dyDescent="0.25">
      <c r="A11" s="15"/>
      <c r="B11" s="15"/>
      <c r="C11" s="15"/>
      <c r="D11" s="12"/>
    </row>
    <row r="12" spans="1:5" x14ac:dyDescent="0.25">
      <c r="A12" s="14"/>
      <c r="B12" s="13"/>
      <c r="C12" s="13"/>
    </row>
    <row r="13" spans="1:5" x14ac:dyDescent="0.25">
      <c r="A13" s="13"/>
      <c r="B13" s="13"/>
      <c r="C13" s="13"/>
    </row>
    <row r="14" spans="1:5" x14ac:dyDescent="0.25">
      <c r="A14" s="16">
        <f>GETPIVOTDATA("Actual",Sheet4!$A$3)</f>
        <v>1154000</v>
      </c>
      <c r="B14" s="16"/>
      <c r="C14" s="16"/>
    </row>
    <row r="15" spans="1:5" x14ac:dyDescent="0.25">
      <c r="A15" s="16"/>
      <c r="B15" s="16"/>
      <c r="C15" s="16"/>
    </row>
    <row r="16" spans="1:5" x14ac:dyDescent="0.25">
      <c r="A16" s="16"/>
      <c r="B16" s="16"/>
      <c r="C16" s="16"/>
    </row>
    <row r="17" spans="1:3" x14ac:dyDescent="0.25">
      <c r="A17" s="16"/>
      <c r="B17" s="16"/>
      <c r="C17" s="16"/>
    </row>
    <row r="18" spans="1:3" x14ac:dyDescent="0.25">
      <c r="A18" s="16"/>
      <c r="B18" s="16"/>
      <c r="C18" s="16"/>
    </row>
  </sheetData>
  <mergeCells count="2">
    <mergeCell ref="A7:C11"/>
    <mergeCell ref="A14:C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58AD-4BDC-45E8-9C18-842D54C3F193}">
  <dimension ref="A3:D17"/>
  <sheetViews>
    <sheetView workbookViewId="0">
      <selection activeCell="D18" sqref="D18"/>
    </sheetView>
  </sheetViews>
  <sheetFormatPr defaultRowHeight="13.8" x14ac:dyDescent="0.25"/>
  <cols>
    <col min="1" max="1" width="12.19921875" bestFit="1" customWidth="1"/>
  </cols>
  <sheetData>
    <row r="3" spans="1:1" x14ac:dyDescent="0.25">
      <c r="A3" t="s">
        <v>40</v>
      </c>
    </row>
    <row r="4" spans="1:1" x14ac:dyDescent="0.25">
      <c r="A4">
        <v>1086000</v>
      </c>
    </row>
    <row r="17" spans="4:4" x14ac:dyDescent="0.25">
      <c r="D17">
        <f>GETPIVOTDATA("[Measures].[Sum of Budget]",$A$3)</f>
        <v>1086000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7A51-7BE2-4C47-B61D-5AEA13EFECB0}">
  <dimension ref="A3:B9"/>
  <sheetViews>
    <sheetView workbookViewId="0">
      <selection activeCell="M18" sqref="M18"/>
    </sheetView>
  </sheetViews>
  <sheetFormatPr defaultRowHeight="13.8" x14ac:dyDescent="0.25"/>
  <cols>
    <col min="1" max="1" width="11.8984375" bestFit="1" customWidth="1"/>
    <col min="2" max="2" width="12.19921875" bestFit="1" customWidth="1"/>
    <col min="3" max="3" width="11.69921875" bestFit="1" customWidth="1"/>
  </cols>
  <sheetData>
    <row r="3" spans="1:2" x14ac:dyDescent="0.25">
      <c r="A3" s="4" t="s">
        <v>38</v>
      </c>
      <c r="B3" t="s">
        <v>40</v>
      </c>
    </row>
    <row r="4" spans="1:2" x14ac:dyDescent="0.25">
      <c r="A4" s="5" t="s">
        <v>23</v>
      </c>
      <c r="B4">
        <v>67000</v>
      </c>
    </row>
    <row r="5" spans="1:2" x14ac:dyDescent="0.25">
      <c r="A5" s="5" t="s">
        <v>17</v>
      </c>
      <c r="B5">
        <v>247000</v>
      </c>
    </row>
    <row r="6" spans="1:2" x14ac:dyDescent="0.25">
      <c r="A6" s="5" t="s">
        <v>20</v>
      </c>
      <c r="B6">
        <v>127000</v>
      </c>
    </row>
    <row r="7" spans="1:2" x14ac:dyDescent="0.25">
      <c r="A7" s="5" t="s">
        <v>8</v>
      </c>
      <c r="B7">
        <v>165000</v>
      </c>
    </row>
    <row r="8" spans="1:2" x14ac:dyDescent="0.25">
      <c r="A8" s="5" t="s">
        <v>13</v>
      </c>
      <c r="B8">
        <v>480000</v>
      </c>
    </row>
    <row r="9" spans="1:2" x14ac:dyDescent="0.25">
      <c r="A9" s="5" t="s">
        <v>39</v>
      </c>
      <c r="B9">
        <v>1086000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D08F-B487-4A1C-BF86-8364ECEB89C1}">
  <dimension ref="A3:C7"/>
  <sheetViews>
    <sheetView workbookViewId="0">
      <selection activeCell="C4" sqref="C4"/>
    </sheetView>
  </sheetViews>
  <sheetFormatPr defaultRowHeight="13.8" x14ac:dyDescent="0.25"/>
  <cols>
    <col min="1" max="1" width="11.8984375" bestFit="1" customWidth="1"/>
    <col min="2" max="2" width="12.19921875" bestFit="1" customWidth="1"/>
    <col min="3" max="3" width="11.69921875" bestFit="1" customWidth="1"/>
    <col min="4" max="6" width="14.3984375" bestFit="1" customWidth="1"/>
    <col min="7" max="7" width="16.69921875" bestFit="1" customWidth="1"/>
    <col min="8" max="8" width="16.19921875" bestFit="1" customWidth="1"/>
  </cols>
  <sheetData>
    <row r="3" spans="1:3" x14ac:dyDescent="0.25">
      <c r="A3" s="4" t="s">
        <v>38</v>
      </c>
      <c r="B3" t="s">
        <v>40</v>
      </c>
      <c r="C3" t="s">
        <v>41</v>
      </c>
    </row>
    <row r="4" spans="1:3" x14ac:dyDescent="0.25">
      <c r="A4" s="5" t="s">
        <v>11</v>
      </c>
      <c r="B4">
        <v>340000</v>
      </c>
      <c r="C4">
        <v>368000</v>
      </c>
    </row>
    <row r="5" spans="1:3" x14ac:dyDescent="0.25">
      <c r="A5" s="5" t="s">
        <v>26</v>
      </c>
      <c r="B5">
        <v>361000</v>
      </c>
      <c r="C5">
        <v>380000</v>
      </c>
    </row>
    <row r="6" spans="1:3" x14ac:dyDescent="0.25">
      <c r="A6" s="5" t="s">
        <v>32</v>
      </c>
      <c r="B6">
        <v>385000</v>
      </c>
      <c r="C6">
        <v>406000</v>
      </c>
    </row>
    <row r="7" spans="1:3" x14ac:dyDescent="0.25">
      <c r="A7" s="5" t="s">
        <v>39</v>
      </c>
      <c r="B7">
        <v>1086000</v>
      </c>
      <c r="C7">
        <v>1154000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B3ED3-FF49-4D4E-9C5F-C0E7CF0CE418}">
  <dimension ref="A3:A4"/>
  <sheetViews>
    <sheetView workbookViewId="0">
      <selection activeCell="L22" sqref="L22"/>
    </sheetView>
  </sheetViews>
  <sheetFormatPr defaultRowHeight="13.8" x14ac:dyDescent="0.25"/>
  <cols>
    <col min="1" max="1" width="11.69921875" bestFit="1" customWidth="1"/>
  </cols>
  <sheetData>
    <row r="3" spans="1:1" x14ac:dyDescent="0.25">
      <c r="A3" t="s">
        <v>41</v>
      </c>
    </row>
    <row r="4" spans="1:1" x14ac:dyDescent="0.25">
      <c r="A4">
        <v>1154000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workbookViewId="0">
      <selection activeCell="F7" sqref="A2:I16"/>
    </sheetView>
  </sheetViews>
  <sheetFormatPr defaultRowHeight="13.8" x14ac:dyDescent="0.25"/>
  <cols>
    <col min="1" max="1" width="10.296875" customWidth="1"/>
    <col min="2" max="2" width="14" customWidth="1"/>
    <col min="3" max="3" width="14.8984375" customWidth="1"/>
    <col min="4" max="4" width="17.3984375" customWidth="1"/>
    <col min="5" max="5" width="9.8984375" style="2" customWidth="1"/>
    <col min="6" max="8" width="10.796875" customWidth="1"/>
    <col min="9" max="9" width="14.5" customWidth="1"/>
    <col min="11" max="11" width="8.19921875" customWidth="1"/>
  </cols>
  <sheetData>
    <row r="1" spans="1:9" x14ac:dyDescent="0.25">
      <c r="A1" t="s">
        <v>0</v>
      </c>
      <c r="B1" t="s">
        <v>1</v>
      </c>
      <c r="C1" t="s">
        <v>2</v>
      </c>
      <c r="D1" t="s">
        <v>3</v>
      </c>
      <c r="E1" t="s">
        <v>5</v>
      </c>
      <c r="F1" s="2" t="s">
        <v>4</v>
      </c>
      <c r="G1" t="s">
        <v>37</v>
      </c>
      <c r="H1" t="s">
        <v>43</v>
      </c>
      <c r="I1" t="s">
        <v>6</v>
      </c>
    </row>
    <row r="2" spans="1:9" x14ac:dyDescent="0.25">
      <c r="A2" s="1" t="s">
        <v>7</v>
      </c>
      <c r="B2" s="1" t="s">
        <v>8</v>
      </c>
      <c r="C2" s="1" t="s">
        <v>9</v>
      </c>
      <c r="D2" s="1" t="s">
        <v>10</v>
      </c>
      <c r="E2" s="1">
        <v>60000</v>
      </c>
      <c r="F2" s="3">
        <v>50000</v>
      </c>
      <c r="G2" s="1">
        <v>-10000</v>
      </c>
      <c r="H2" s="6">
        <f>(Table1[[#This Row],[Budget]]-Table1[[#This Row],[Actual]])/Table1[[#This Row],[Budget]]</f>
        <v>-0.2</v>
      </c>
      <c r="I2" s="1" t="s">
        <v>11</v>
      </c>
    </row>
    <row r="3" spans="1:9" x14ac:dyDescent="0.25">
      <c r="A3" s="1" t="s">
        <v>12</v>
      </c>
      <c r="B3" s="1" t="s">
        <v>13</v>
      </c>
      <c r="C3" s="1" t="s">
        <v>14</v>
      </c>
      <c r="D3" s="1" t="s">
        <v>15</v>
      </c>
      <c r="E3" s="1">
        <v>170000</v>
      </c>
      <c r="F3" s="3">
        <v>150000</v>
      </c>
      <c r="G3" s="1">
        <v>-20000</v>
      </c>
      <c r="H3" s="6">
        <f>(Table1[[#This Row],[Budget]]-Table1[[#This Row],[Actual]])/Table1[[#This Row],[Budget]]</f>
        <v>-0.13333333333333333</v>
      </c>
      <c r="I3" s="1" t="s">
        <v>11</v>
      </c>
    </row>
    <row r="4" spans="1:9" x14ac:dyDescent="0.25">
      <c r="A4" s="1" t="s">
        <v>16</v>
      </c>
      <c r="B4" s="1" t="s">
        <v>17</v>
      </c>
      <c r="C4" s="1" t="s">
        <v>9</v>
      </c>
      <c r="D4" s="1" t="s">
        <v>18</v>
      </c>
      <c r="E4" s="1">
        <v>75000</v>
      </c>
      <c r="F4" s="3">
        <v>80000</v>
      </c>
      <c r="G4" s="1">
        <v>5000</v>
      </c>
      <c r="H4" s="6">
        <f>(Table1[[#This Row],[Budget]]-Table1[[#This Row],[Actual]])/Table1[[#This Row],[Budget]]</f>
        <v>6.25E-2</v>
      </c>
      <c r="I4" s="1" t="s">
        <v>11</v>
      </c>
    </row>
    <row r="5" spans="1:9" x14ac:dyDescent="0.25">
      <c r="A5" s="1" t="s">
        <v>19</v>
      </c>
      <c r="B5" s="1" t="s">
        <v>20</v>
      </c>
      <c r="C5" s="1" t="s">
        <v>9</v>
      </c>
      <c r="D5" s="1" t="s">
        <v>21</v>
      </c>
      <c r="E5" s="1">
        <v>45000</v>
      </c>
      <c r="F5" s="3">
        <v>40000</v>
      </c>
      <c r="G5" s="1">
        <v>-5000</v>
      </c>
      <c r="H5" s="6">
        <f>(Table1[[#This Row],[Budget]]-Table1[[#This Row],[Actual]])/Table1[[#This Row],[Budget]]</f>
        <v>-0.125</v>
      </c>
      <c r="I5" s="1" t="s">
        <v>11</v>
      </c>
    </row>
    <row r="6" spans="1:9" x14ac:dyDescent="0.25">
      <c r="A6" s="1" t="s">
        <v>22</v>
      </c>
      <c r="B6" s="1" t="s">
        <v>23</v>
      </c>
      <c r="C6" s="1" t="s">
        <v>9</v>
      </c>
      <c r="D6" s="1" t="s">
        <v>24</v>
      </c>
      <c r="E6" s="1">
        <v>18000</v>
      </c>
      <c r="F6" s="3">
        <v>20000</v>
      </c>
      <c r="G6" s="1">
        <v>2000</v>
      </c>
      <c r="H6" s="6">
        <f>(Table1[[#This Row],[Budget]]-Table1[[#This Row],[Actual]])/Table1[[#This Row],[Budget]]</f>
        <v>0.1</v>
      </c>
      <c r="I6" s="1" t="s">
        <v>11</v>
      </c>
    </row>
    <row r="7" spans="1:9" x14ac:dyDescent="0.25">
      <c r="A7" s="1" t="s">
        <v>25</v>
      </c>
      <c r="B7" s="1" t="s">
        <v>8</v>
      </c>
      <c r="C7" s="1" t="s">
        <v>9</v>
      </c>
      <c r="D7" s="1" t="s">
        <v>10</v>
      </c>
      <c r="E7" s="1">
        <v>52000</v>
      </c>
      <c r="F7" s="3">
        <v>55000</v>
      </c>
      <c r="G7" s="1">
        <v>3000</v>
      </c>
      <c r="H7" s="6">
        <f>(Table1[[#This Row],[Budget]]-Table1[[#This Row],[Actual]])/Table1[[#This Row],[Budget]]</f>
        <v>5.4545454545454543E-2</v>
      </c>
      <c r="I7" s="1" t="s">
        <v>26</v>
      </c>
    </row>
    <row r="8" spans="1:9" x14ac:dyDescent="0.25">
      <c r="A8" s="1" t="s">
        <v>27</v>
      </c>
      <c r="B8" s="1" t="s">
        <v>13</v>
      </c>
      <c r="C8" s="1" t="s">
        <v>14</v>
      </c>
      <c r="D8" s="1" t="s">
        <v>15</v>
      </c>
      <c r="E8" s="1">
        <v>180000</v>
      </c>
      <c r="F8" s="3">
        <v>160000</v>
      </c>
      <c r="G8" s="1">
        <v>-20000</v>
      </c>
      <c r="H8" s="6">
        <f>(Table1[[#This Row],[Budget]]-Table1[[#This Row],[Actual]])/Table1[[#This Row],[Budget]]</f>
        <v>-0.125</v>
      </c>
      <c r="I8" s="1" t="s">
        <v>26</v>
      </c>
    </row>
    <row r="9" spans="1:9" x14ac:dyDescent="0.25">
      <c r="A9" s="1" t="s">
        <v>28</v>
      </c>
      <c r="B9" s="1" t="s">
        <v>17</v>
      </c>
      <c r="C9" s="1" t="s">
        <v>9</v>
      </c>
      <c r="D9" s="1" t="s">
        <v>18</v>
      </c>
      <c r="E9" s="1">
        <v>83000</v>
      </c>
      <c r="F9" s="3">
        <v>82000</v>
      </c>
      <c r="G9" s="1">
        <v>-1000</v>
      </c>
      <c r="H9" s="6">
        <f>(Table1[[#This Row],[Budget]]-Table1[[#This Row],[Actual]])/Table1[[#This Row],[Budget]]</f>
        <v>-1.2195121951219513E-2</v>
      </c>
      <c r="I9" s="1" t="s">
        <v>26</v>
      </c>
    </row>
    <row r="10" spans="1:9" x14ac:dyDescent="0.25">
      <c r="A10" s="1" t="s">
        <v>29</v>
      </c>
      <c r="B10" s="1" t="s">
        <v>20</v>
      </c>
      <c r="C10" s="1" t="s">
        <v>9</v>
      </c>
      <c r="D10" s="1" t="s">
        <v>21</v>
      </c>
      <c r="E10" s="1">
        <v>40000</v>
      </c>
      <c r="F10" s="3">
        <v>42000</v>
      </c>
      <c r="G10" s="1">
        <v>2000</v>
      </c>
      <c r="H10" s="6">
        <f>(Table1[[#This Row],[Budget]]-Table1[[#This Row],[Actual]])/Table1[[#This Row],[Budget]]</f>
        <v>4.7619047619047616E-2</v>
      </c>
      <c r="I10" s="1" t="s">
        <v>26</v>
      </c>
    </row>
    <row r="11" spans="1:9" x14ac:dyDescent="0.25">
      <c r="A11" s="1" t="s">
        <v>30</v>
      </c>
      <c r="B11" s="1" t="s">
        <v>23</v>
      </c>
      <c r="C11" s="1" t="s">
        <v>9</v>
      </c>
      <c r="D11" s="1" t="s">
        <v>24</v>
      </c>
      <c r="E11" s="1">
        <v>25000</v>
      </c>
      <c r="F11" s="3">
        <v>22000</v>
      </c>
      <c r="G11" s="1">
        <v>-3000</v>
      </c>
      <c r="H11" s="6">
        <f>(Table1[[#This Row],[Budget]]-Table1[[#This Row],[Actual]])/Table1[[#This Row],[Budget]]</f>
        <v>-0.13636363636363635</v>
      </c>
      <c r="I11" s="1" t="s">
        <v>26</v>
      </c>
    </row>
    <row r="12" spans="1:9" x14ac:dyDescent="0.25">
      <c r="A12" s="1" t="s">
        <v>31</v>
      </c>
      <c r="B12" s="1" t="s">
        <v>8</v>
      </c>
      <c r="C12" s="1" t="s">
        <v>9</v>
      </c>
      <c r="D12" s="1" t="s">
        <v>10</v>
      </c>
      <c r="E12" s="1">
        <v>58000</v>
      </c>
      <c r="F12" s="3">
        <v>60000</v>
      </c>
      <c r="G12" s="1">
        <v>2000</v>
      </c>
      <c r="H12" s="6">
        <f>(Table1[[#This Row],[Budget]]-Table1[[#This Row],[Actual]])/Table1[[#This Row],[Budget]]</f>
        <v>3.3333333333333333E-2</v>
      </c>
      <c r="I12" s="1" t="s">
        <v>32</v>
      </c>
    </row>
    <row r="13" spans="1:9" x14ac:dyDescent="0.25">
      <c r="A13" s="1" t="s">
        <v>33</v>
      </c>
      <c r="B13" s="1" t="s">
        <v>13</v>
      </c>
      <c r="C13" s="1" t="s">
        <v>14</v>
      </c>
      <c r="D13" s="1" t="s">
        <v>15</v>
      </c>
      <c r="E13" s="1">
        <v>190000</v>
      </c>
      <c r="F13" s="3">
        <v>170000</v>
      </c>
      <c r="G13" s="1">
        <v>-20000</v>
      </c>
      <c r="H13" s="6">
        <f>(Table1[[#This Row],[Budget]]-Table1[[#This Row],[Actual]])/Table1[[#This Row],[Budget]]</f>
        <v>-0.11764705882352941</v>
      </c>
      <c r="I13" s="1" t="s">
        <v>32</v>
      </c>
    </row>
    <row r="14" spans="1:9" x14ac:dyDescent="0.25">
      <c r="A14" s="1" t="s">
        <v>34</v>
      </c>
      <c r="B14" s="1" t="s">
        <v>17</v>
      </c>
      <c r="C14" s="1" t="s">
        <v>9</v>
      </c>
      <c r="D14" s="1" t="s">
        <v>18</v>
      </c>
      <c r="E14" s="1">
        <v>87000</v>
      </c>
      <c r="F14" s="3">
        <v>85000</v>
      </c>
      <c r="G14" s="1">
        <v>-2000</v>
      </c>
      <c r="H14" s="6">
        <f>(Table1[[#This Row],[Budget]]-Table1[[#This Row],[Actual]])/Table1[[#This Row],[Budget]]</f>
        <v>-2.3529411764705882E-2</v>
      </c>
      <c r="I14" s="1" t="s">
        <v>32</v>
      </c>
    </row>
    <row r="15" spans="1:9" x14ac:dyDescent="0.25">
      <c r="A15" s="1" t="s">
        <v>35</v>
      </c>
      <c r="B15" s="1" t="s">
        <v>20</v>
      </c>
      <c r="C15" s="1" t="s">
        <v>9</v>
      </c>
      <c r="D15" s="1" t="s">
        <v>21</v>
      </c>
      <c r="E15" s="1">
        <v>47000</v>
      </c>
      <c r="F15" s="3">
        <v>45000</v>
      </c>
      <c r="G15" s="1">
        <v>-2000</v>
      </c>
      <c r="H15" s="6">
        <f>(Table1[[#This Row],[Budget]]-Table1[[#This Row],[Actual]])/Table1[[#This Row],[Budget]]</f>
        <v>-4.4444444444444446E-2</v>
      </c>
      <c r="I15" s="1" t="s">
        <v>32</v>
      </c>
    </row>
    <row r="16" spans="1:9" x14ac:dyDescent="0.25">
      <c r="A16" s="1" t="s">
        <v>36</v>
      </c>
      <c r="B16" s="1" t="s">
        <v>23</v>
      </c>
      <c r="C16" s="1" t="s">
        <v>9</v>
      </c>
      <c r="D16" s="1" t="s">
        <v>24</v>
      </c>
      <c r="E16" s="1">
        <v>24000</v>
      </c>
      <c r="F16" s="3">
        <v>25000</v>
      </c>
      <c r="G16" s="1">
        <v>1000</v>
      </c>
      <c r="H16" s="6">
        <f>(Table1[[#This Row],[Budget]]-Table1[[#This Row],[Actual]])/Table1[[#This Row],[Budget]]</f>
        <v>0.04</v>
      </c>
      <c r="I16" s="1" t="s">
        <v>32</v>
      </c>
    </row>
    <row r="17" spans="1:9" x14ac:dyDescent="0.25">
      <c r="A17" s="8" t="s">
        <v>44</v>
      </c>
      <c r="B17" s="8"/>
      <c r="C17" s="8"/>
      <c r="D17" s="8"/>
      <c r="E17" s="8">
        <f>SUM(E2:E16)</f>
        <v>1154000</v>
      </c>
      <c r="F17" s="8">
        <f>SUM(F2:F16)</f>
        <v>1086000</v>
      </c>
      <c r="G17" s="8">
        <f>SUM(G2:G16)</f>
        <v>-68000</v>
      </c>
      <c r="H17" s="9"/>
      <c r="I17" s="8"/>
    </row>
  </sheetData>
  <phoneticPr fontId="2" type="noConversion"/>
  <conditionalFormatting sqref="G1:H16">
    <cfRule type="cellIs" dxfId="4" priority="5" operator="lessThan">
      <formula>500</formula>
    </cfRule>
  </conditionalFormatting>
  <conditionalFormatting sqref="G2:H16">
    <cfRule type="cellIs" dxfId="3" priority="4" operator="greaterThan">
      <formula>500</formula>
    </cfRule>
  </conditionalFormatting>
  <conditionalFormatting sqref="H2:H16">
    <cfRule type="cellIs" dxfId="2" priority="1" operator="greaterThan">
      <formula>0</formula>
    </cfRule>
    <cfRule type="cellIs" dxfId="0" priority="3" operator="greaterThan">
      <formula>"-"</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4BF317B7-C7C3-4088-9BB2-BFFE69EE55C9}">
            <xm:f>NOT(ISERROR(SEARCH("-",H2)))</xm:f>
            <xm:f>"-"</xm:f>
            <x14:dxf>
              <font>
                <color rgb="FF9C0006"/>
              </font>
              <fill>
                <patternFill>
                  <bgColor rgb="FFFFC7CE"/>
                </patternFill>
              </fill>
            </x14:dxf>
          </x14:cfRule>
          <xm:sqref>H2:H16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8008-7499-4E72-98AE-21FAD9DCB940}">
  <dimension ref="A3:C9"/>
  <sheetViews>
    <sheetView zoomScale="115" zoomScaleNormal="115" workbookViewId="0">
      <selection activeCell="C30" sqref="C30"/>
    </sheetView>
  </sheetViews>
  <sheetFormatPr defaultRowHeight="13.8" x14ac:dyDescent="0.25"/>
  <cols>
    <col min="1" max="1" width="11.8984375" bestFit="1" customWidth="1"/>
    <col min="2" max="2" width="12.19921875" bestFit="1" customWidth="1"/>
    <col min="3" max="3" width="11.69921875" bestFit="1" customWidth="1"/>
    <col min="4" max="4" width="13.59765625" bestFit="1" customWidth="1"/>
  </cols>
  <sheetData>
    <row r="3" spans="1:3" x14ac:dyDescent="0.25">
      <c r="A3" s="4" t="s">
        <v>38</v>
      </c>
      <c r="B3" t="s">
        <v>40</v>
      </c>
      <c r="C3" t="s">
        <v>41</v>
      </c>
    </row>
    <row r="4" spans="1:3" x14ac:dyDescent="0.25">
      <c r="A4" s="5" t="s">
        <v>23</v>
      </c>
      <c r="B4">
        <v>67000</v>
      </c>
      <c r="C4">
        <v>67000</v>
      </c>
    </row>
    <row r="5" spans="1:3" x14ac:dyDescent="0.25">
      <c r="A5" s="5" t="s">
        <v>20</v>
      </c>
      <c r="B5">
        <v>127000</v>
      </c>
      <c r="C5">
        <v>132000</v>
      </c>
    </row>
    <row r="6" spans="1:3" x14ac:dyDescent="0.25">
      <c r="A6" s="5" t="s">
        <v>8</v>
      </c>
      <c r="B6">
        <v>165000</v>
      </c>
      <c r="C6">
        <v>170000</v>
      </c>
    </row>
    <row r="7" spans="1:3" x14ac:dyDescent="0.25">
      <c r="A7" s="5" t="s">
        <v>17</v>
      </c>
      <c r="B7">
        <v>247000</v>
      </c>
      <c r="C7">
        <v>245000</v>
      </c>
    </row>
    <row r="8" spans="1:3" x14ac:dyDescent="0.25">
      <c r="A8" s="5" t="s">
        <v>13</v>
      </c>
      <c r="B8">
        <v>480000</v>
      </c>
      <c r="C8">
        <v>540000</v>
      </c>
    </row>
    <row r="9" spans="1:3" x14ac:dyDescent="0.25">
      <c r="A9" s="5" t="s">
        <v>39</v>
      </c>
      <c r="B9">
        <v>1086000</v>
      </c>
      <c r="C9">
        <v>1154000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F9E0-249E-434C-9D46-1289FC1A1FF3}">
  <dimension ref="A3:B9"/>
  <sheetViews>
    <sheetView workbookViewId="0">
      <selection activeCell="B3" sqref="B3"/>
    </sheetView>
  </sheetViews>
  <sheetFormatPr defaultRowHeight="13.8" x14ac:dyDescent="0.25"/>
  <cols>
    <col min="1" max="1" width="11.8984375" bestFit="1" customWidth="1"/>
    <col min="2" max="2" width="13.59765625" bestFit="1" customWidth="1"/>
    <col min="3" max="3" width="4.8984375" bestFit="1" customWidth="1"/>
    <col min="4" max="4" width="5.5" bestFit="1" customWidth="1"/>
    <col min="5" max="5" width="8.69921875" bestFit="1" customWidth="1"/>
    <col min="6" max="6" width="6.5" bestFit="1" customWidth="1"/>
    <col min="7" max="7" width="10.09765625" bestFit="1" customWidth="1"/>
    <col min="14" max="14" width="8.796875" customWidth="1"/>
  </cols>
  <sheetData>
    <row r="3" spans="1:2" x14ac:dyDescent="0.25">
      <c r="A3" s="4" t="s">
        <v>38</v>
      </c>
      <c r="B3" t="s">
        <v>42</v>
      </c>
    </row>
    <row r="4" spans="1:2" x14ac:dyDescent="0.25">
      <c r="A4" s="5" t="s">
        <v>23</v>
      </c>
      <c r="B4">
        <v>0</v>
      </c>
    </row>
    <row r="5" spans="1:2" x14ac:dyDescent="0.25">
      <c r="A5" s="5" t="s">
        <v>17</v>
      </c>
      <c r="B5">
        <v>2000</v>
      </c>
    </row>
    <row r="6" spans="1:2" x14ac:dyDescent="0.25">
      <c r="A6" s="5" t="s">
        <v>20</v>
      </c>
      <c r="B6" s="7">
        <v>-5000</v>
      </c>
    </row>
    <row r="7" spans="1:2" x14ac:dyDescent="0.25">
      <c r="A7" s="5" t="s">
        <v>8</v>
      </c>
      <c r="B7" s="7">
        <v>-5000</v>
      </c>
    </row>
    <row r="8" spans="1:2" x14ac:dyDescent="0.25">
      <c r="A8" s="5" t="s">
        <v>13</v>
      </c>
      <c r="B8" s="7">
        <v>-60000</v>
      </c>
    </row>
    <row r="9" spans="1:2" x14ac:dyDescent="0.25">
      <c r="A9" s="5" t="s">
        <v>39</v>
      </c>
      <c r="B9" s="7">
        <v>-68000</v>
      </c>
    </row>
  </sheetData>
  <conditionalFormatting pivot="1" sqref="B6:B8 B9">
    <cfRule type="cellIs" dxfId="7"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06DD-042D-424F-BCB0-493F0195BF74}">
  <dimension ref="A3:C6"/>
  <sheetViews>
    <sheetView topLeftCell="A2" zoomScale="85" zoomScaleNormal="85" workbookViewId="0">
      <selection activeCell="C9" sqref="C9"/>
    </sheetView>
  </sheetViews>
  <sheetFormatPr defaultRowHeight="13.8" x14ac:dyDescent="0.25"/>
  <cols>
    <col min="1" max="1" width="10.296875" bestFit="1" customWidth="1"/>
    <col min="2" max="2" width="12.59765625" bestFit="1" customWidth="1"/>
    <col min="3" max="3" width="12.09765625" bestFit="1" customWidth="1"/>
    <col min="4" max="4" width="7.3984375" bestFit="1" customWidth="1"/>
    <col min="5" max="5" width="12.09765625" bestFit="1" customWidth="1"/>
    <col min="6" max="7" width="7.3984375" bestFit="1" customWidth="1"/>
    <col min="8" max="8" width="17" bestFit="1" customWidth="1"/>
    <col min="9" max="9" width="16.59765625" bestFit="1" customWidth="1"/>
    <col min="10" max="10" width="7.3984375" bestFit="1" customWidth="1"/>
    <col min="11" max="11" width="15.296875" bestFit="1" customWidth="1"/>
    <col min="12" max="12" width="17" bestFit="1" customWidth="1"/>
    <col min="13" max="13" width="16.59765625" bestFit="1" customWidth="1"/>
    <col min="14" max="14" width="6.8984375" bestFit="1" customWidth="1"/>
    <col min="15" max="16" width="5.8984375" bestFit="1" customWidth="1"/>
    <col min="17" max="17" width="8.69921875" bestFit="1" customWidth="1"/>
    <col min="18" max="18" width="6.8984375" bestFit="1" customWidth="1"/>
    <col min="19" max="19" width="8.296875" bestFit="1" customWidth="1"/>
    <col min="20" max="20" width="10.09765625" bestFit="1" customWidth="1"/>
  </cols>
  <sheetData>
    <row r="3" spans="1:3" x14ac:dyDescent="0.25">
      <c r="B3" t="s">
        <v>40</v>
      </c>
      <c r="C3" t="s">
        <v>41</v>
      </c>
    </row>
    <row r="4" spans="1:3" x14ac:dyDescent="0.25">
      <c r="A4" s="5" t="s">
        <v>9</v>
      </c>
      <c r="B4">
        <v>215000</v>
      </c>
      <c r="C4">
        <v>216000</v>
      </c>
    </row>
    <row r="5" spans="1:3" x14ac:dyDescent="0.25">
      <c r="A5" s="5" t="s">
        <v>14</v>
      </c>
      <c r="B5">
        <v>170000</v>
      </c>
      <c r="C5">
        <v>190000</v>
      </c>
    </row>
    <row r="6" spans="1:3" x14ac:dyDescent="0.25">
      <c r="A6" s="5" t="s">
        <v>39</v>
      </c>
      <c r="B6">
        <v>385000</v>
      </c>
      <c r="C6">
        <v>406000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2E488C-49AB-495C-91CF-67FB2FD079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vt:lpstr>
      <vt:lpstr>Sheet1</vt:lpstr>
      <vt:lpstr>Sheet2</vt:lpstr>
      <vt:lpstr>Sheet3</vt:lpstr>
      <vt:lpstr>Sheet4</vt:lpstr>
      <vt:lpstr>Finance Data</vt:lpstr>
      <vt:lpstr>department spendings </vt:lpstr>
      <vt:lpstr>sum of Varience </vt:lpstr>
      <vt:lpstr>Monthly Revenue &amp; Expense Analy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Yadav</cp:lastModifiedBy>
  <dcterms:created xsi:type="dcterms:W3CDTF">2026-04-04T05:15:14Z</dcterms:created>
  <dcterms:modified xsi:type="dcterms:W3CDTF">2026-06-02T18:06:21Z</dcterms:modified>
</cp:coreProperties>
</file>